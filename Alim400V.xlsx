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"/>
    </mc:Choice>
  </mc:AlternateContent>
  <xr:revisionPtr revIDLastSave="0" documentId="13_ncr:1_{BCDB126A-3374-4DC6-9FD9-AB4C0DE13D88}" xr6:coauthVersionLast="47" xr6:coauthVersionMax="47" xr10:uidLastSave="{00000000-0000-0000-0000-000000000000}"/>
  <bookViews>
    <workbookView xWindow="-108" yWindow="-108" windowWidth="23256" windowHeight="12456" activeTab="2" xr2:uid="{61944083-4F3F-44B6-828A-7059F5989F4B}"/>
  </bookViews>
  <sheets>
    <sheet name="DRAFT" sheetId="1" r:id="rId1"/>
    <sheet name="ALIM1" sheetId="2" r:id="rId2"/>
    <sheet name="ALIM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3" l="1"/>
  <c r="W5" i="3"/>
  <c r="S19" i="3"/>
  <c r="T19" i="3"/>
  <c r="U19" i="3"/>
  <c r="V19" i="3"/>
  <c r="W19" i="3"/>
  <c r="R19" i="3"/>
  <c r="W6" i="3"/>
  <c r="V6" i="3"/>
  <c r="U6" i="3"/>
  <c r="T6" i="3"/>
  <c r="S6" i="3"/>
  <c r="M6" i="3"/>
  <c r="R6" i="3" s="1"/>
  <c r="M5" i="3"/>
  <c r="C5" i="3"/>
  <c r="F4" i="3"/>
  <c r="F10" i="2"/>
  <c r="G12" i="2"/>
  <c r="G13" i="2" s="1"/>
  <c r="G14" i="2" s="1"/>
  <c r="G15" i="2" s="1"/>
  <c r="G16" i="2" s="1"/>
  <c r="G17" i="2" s="1"/>
  <c r="O25" i="2"/>
  <c r="O26" i="2"/>
  <c r="O24" i="2"/>
  <c r="H12" i="2"/>
  <c r="H13" i="2"/>
  <c r="H14" i="2" s="1"/>
  <c r="H15" i="2" s="1"/>
  <c r="H16" i="2" s="1"/>
  <c r="H17" i="2" s="1"/>
  <c r="E24" i="2"/>
  <c r="J12" i="2"/>
  <c r="J13" i="2" s="1"/>
  <c r="C6" i="2"/>
  <c r="F5" i="2"/>
  <c r="F8" i="2" s="1"/>
  <c r="L18" i="1"/>
  <c r="M18" i="1"/>
  <c r="I18" i="1"/>
  <c r="J18" i="1"/>
  <c r="E24" i="1"/>
  <c r="L17" i="1"/>
  <c r="M17" i="1"/>
  <c r="C6" i="1"/>
  <c r="J12" i="1" s="1"/>
  <c r="F5" i="1"/>
  <c r="I12" i="1" s="1"/>
  <c r="I13" i="1" s="1"/>
  <c r="I14" i="1" s="1"/>
  <c r="I15" i="1" s="1"/>
  <c r="I16" i="1" s="1"/>
  <c r="O5" i="3" l="1"/>
  <c r="O8" i="3" s="1"/>
  <c r="O13" i="3" s="1"/>
  <c r="N6" i="3"/>
  <c r="O6" i="3"/>
  <c r="P6" i="3"/>
  <c r="F7" i="3"/>
  <c r="F9" i="3" s="1"/>
  <c r="M13" i="3"/>
  <c r="N5" i="3"/>
  <c r="P5" i="3" s="1"/>
  <c r="I12" i="2"/>
  <c r="L12" i="2" s="1"/>
  <c r="M12" i="2"/>
  <c r="I13" i="2"/>
  <c r="J14" i="2"/>
  <c r="I17" i="1"/>
  <c r="L12" i="1"/>
  <c r="M12" i="1" s="1"/>
  <c r="J13" i="1"/>
  <c r="F8" i="1"/>
  <c r="F10" i="1" s="1"/>
  <c r="S5" i="3" l="1"/>
  <c r="S8" i="3" s="1"/>
  <c r="S13" i="3" s="1"/>
  <c r="T5" i="3"/>
  <c r="T8" i="3" s="1"/>
  <c r="T13" i="3" s="1"/>
  <c r="U5" i="3"/>
  <c r="U8" i="3" s="1"/>
  <c r="U13" i="3" s="1"/>
  <c r="V5" i="3"/>
  <c r="V8" i="3" s="1"/>
  <c r="V13" i="3" s="1"/>
  <c r="W13" i="3"/>
  <c r="R5" i="3"/>
  <c r="R8" i="3" s="1"/>
  <c r="R13" i="3" s="1"/>
  <c r="N13" i="3"/>
  <c r="P8" i="3"/>
  <c r="P13" i="3" s="1"/>
  <c r="P16" i="3" s="1"/>
  <c r="M16" i="3"/>
  <c r="M15" i="3"/>
  <c r="O15" i="3"/>
  <c r="O16" i="3"/>
  <c r="I14" i="2"/>
  <c r="L13" i="2"/>
  <c r="M13" i="2" s="1"/>
  <c r="J15" i="2"/>
  <c r="J14" i="1"/>
  <c r="L13" i="1"/>
  <c r="M13" i="1" s="1"/>
  <c r="R16" i="3" l="1"/>
  <c r="R20" i="3" s="1"/>
  <c r="R15" i="3"/>
  <c r="W15" i="3"/>
  <c r="W16" i="3"/>
  <c r="W20" i="3" s="1"/>
  <c r="U15" i="3"/>
  <c r="U16" i="3"/>
  <c r="U20" i="3" s="1"/>
  <c r="T15" i="3"/>
  <c r="T16" i="3"/>
  <c r="T20" i="3" s="1"/>
  <c r="V15" i="3"/>
  <c r="V16" i="3"/>
  <c r="V20" i="3" s="1"/>
  <c r="S16" i="3"/>
  <c r="S20" i="3" s="1"/>
  <c r="S15" i="3"/>
  <c r="N15" i="3"/>
  <c r="N16" i="3"/>
  <c r="P15" i="3"/>
  <c r="I15" i="2"/>
  <c r="L14" i="2"/>
  <c r="M14" i="2" s="1"/>
  <c r="J16" i="2"/>
  <c r="L14" i="1"/>
  <c r="M14" i="1" s="1"/>
  <c r="J15" i="1"/>
  <c r="I16" i="2" l="1"/>
  <c r="L15" i="2"/>
  <c r="M15" i="2" s="1"/>
  <c r="J17" i="2"/>
  <c r="E17" i="2"/>
  <c r="E18" i="2" s="1"/>
  <c r="E19" i="2" s="1"/>
  <c r="J16" i="1"/>
  <c r="L15" i="1"/>
  <c r="M15" i="1" s="1"/>
  <c r="I17" i="2" l="1"/>
  <c r="L17" i="2" s="1"/>
  <c r="M17" i="2" s="1"/>
  <c r="L16" i="2"/>
  <c r="M16" i="2" s="1"/>
  <c r="E17" i="1"/>
  <c r="E18" i="1" s="1"/>
  <c r="E19" i="1" s="1"/>
  <c r="L16" i="1"/>
  <c r="M16" i="1" s="1"/>
  <c r="J17" i="1"/>
</calcChain>
</file>

<file path=xl/sharedStrings.xml><?xml version="1.0" encoding="utf-8"?>
<sst xmlns="http://schemas.openxmlformats.org/spreadsheetml/2006/main" count="86" uniqueCount="28">
  <si>
    <t>R11</t>
  </si>
  <si>
    <t>R12</t>
  </si>
  <si>
    <t>R13</t>
  </si>
  <si>
    <t>K</t>
  </si>
  <si>
    <t>R2P1</t>
  </si>
  <si>
    <t>R2P2</t>
  </si>
  <si>
    <t>R2</t>
  </si>
  <si>
    <t>R1</t>
  </si>
  <si>
    <t>Rat = R2/R2+R1</t>
  </si>
  <si>
    <t>V1</t>
  </si>
  <si>
    <t>V2</t>
  </si>
  <si>
    <t xml:space="preserve">V1 = V2/Rat = V2(1+ R1/R2) </t>
  </si>
  <si>
    <t>R1_add</t>
  </si>
  <si>
    <t>R1"</t>
  </si>
  <si>
    <t xml:space="preserve">R1_Target </t>
  </si>
  <si>
    <t xml:space="preserve">R1paral </t>
  </si>
  <si>
    <t>R1_target = R1//R1paral</t>
  </si>
  <si>
    <t>R2_add</t>
  </si>
  <si>
    <t>R2"</t>
  </si>
  <si>
    <t>R2paral</t>
  </si>
  <si>
    <t xml:space="preserve">REF </t>
  </si>
  <si>
    <t>ADD POTO IN HEIGH</t>
  </si>
  <si>
    <t>ADD POTO IN LOW</t>
  </si>
  <si>
    <t xml:space="preserve">Rparal = </t>
  </si>
  <si>
    <t>R2 equiv</t>
  </si>
  <si>
    <t>Rpoten</t>
  </si>
  <si>
    <t>Vout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</si>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</sst>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DRAFT!$M$11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DRAFT!$K$12:$K$22</c:f>
              <c:numCache>
                <c:formatCode>General</c:formatCode>
                <c:ptCount val="11"/>
                <c:pt idx="0">
                  <c:v>-200</c:v>
                </c:pt>
                <c:pt idx="1">
                  <c:v>-100</c:v>
                </c:pt>
                <c:pt idx="2">
                  <c:v>-50</c:v>
                </c:pt>
                <c:pt idx="3">
                  <c:v>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</c:numCache>
            </c:numRef>
          </c:xVal>
          <c:yVal>
            <c:numRef>
              <c:f>DRAFT!$M$12:$M$22</c:f>
              <c:numCache>
                <c:formatCode>General</c:formatCode>
                <c:ptCount val="11"/>
                <c:pt idx="0">
                  <c:v>345.56980056980052</c:v>
                </c:pt>
                <c:pt idx="1">
                  <c:v>365.37037037037038</c:v>
                </c:pt>
                <c:pt idx="2">
                  <c:v>375.27065527065525</c:v>
                </c:pt>
                <c:pt idx="3">
                  <c:v>385.17094017094018</c:v>
                </c:pt>
                <c:pt idx="4">
                  <c:v>395.07122507122506</c:v>
                </c:pt>
                <c:pt idx="5">
                  <c:v>404.97150997150993</c:v>
                </c:pt>
                <c:pt idx="6">
                  <c:v>424.77207977207973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A-45D9-8C42-5CC2B3046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429407"/>
        <c:axId val="1229429887"/>
      </c:scatterChart>
      <c:valAx>
        <c:axId val="122942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29887"/>
        <c:crosses val="autoZero"/>
        <c:crossBetween val="midCat"/>
      </c:valAx>
      <c:valAx>
        <c:axId val="122942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2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ALIM1!$M$11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ALIM1!$K$12:$K$22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ALIM1!$M$12:$M$22</c:f>
              <c:numCache>
                <c:formatCode>General</c:formatCode>
                <c:ptCount val="11"/>
                <c:pt idx="0">
                  <c:v>425.17094017094007</c:v>
                </c:pt>
                <c:pt idx="1">
                  <c:v>407.55211709713734</c:v>
                </c:pt>
                <c:pt idx="2">
                  <c:v>391.35143100399495</c:v>
                </c:pt>
                <c:pt idx="3">
                  <c:v>376.40428746812722</c:v>
                </c:pt>
                <c:pt idx="4">
                  <c:v>362.57061461995391</c:v>
                </c:pt>
                <c:pt idx="5">
                  <c:v>349.7304601899196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D-46F1-B504-BAD9CC6B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429407"/>
        <c:axId val="1229429887"/>
      </c:scatterChart>
      <c:valAx>
        <c:axId val="122942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29887"/>
        <c:crosses val="autoZero"/>
        <c:crossBetween val="midCat"/>
      </c:valAx>
      <c:valAx>
        <c:axId val="1229429887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2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ALIM2!$Q$20</c:f>
              <c:strCache>
                <c:ptCount val="1"/>
                <c:pt idx="0">
                  <c:v>Vout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ALIM2!$R$19:$W$19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ALIM2!$R$20:$W$20</c:f>
              <c:numCache>
                <c:formatCode>General</c:formatCode>
                <c:ptCount val="6"/>
                <c:pt idx="0">
                  <c:v>342.7620360766058</c:v>
                </c:pt>
                <c:pt idx="1">
                  <c:v>353.61048026708244</c:v>
                </c:pt>
                <c:pt idx="2">
                  <c:v>365.2269070103863</c:v>
                </c:pt>
                <c:pt idx="3">
                  <c:v>377.69585926441846</c:v>
                </c:pt>
                <c:pt idx="4">
                  <c:v>391.11476184090071</c:v>
                </c:pt>
                <c:pt idx="5">
                  <c:v>405.59647208583368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3-451E-BD7C-1412A0120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805983"/>
        <c:axId val="1445825663"/>
      </c:scatterChart>
      <c:valAx>
        <c:axId val="144580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25663"/>
        <c:crosses val="autoZero"/>
        <c:crossBetween val="midCat"/>
      </c:valAx>
      <c:valAx>
        <c:axId val="144582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0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182880</xdr:colOff>
      <xdr:row>5</xdr:row>
      <xdr:rowOff>80010</xdr:rowOff>
    </xdr:from>
    <xdr:to>
      <xdr:col>20</xdr:col>
      <xdr:colOff>487680</xdr:colOff>
      <xdr:row>20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8D79FB-0150-7330-73D9-2000857FC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586740</xdr:colOff>
      <xdr:row>5</xdr:row>
      <xdr:rowOff>64770</xdr:rowOff>
    </xdr:from>
    <xdr:to>
      <xdr:col>22</xdr:col>
      <xdr:colOff>281940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2A1C2-DD33-486B-BF72-DD35DC083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18</xdr:row>
      <xdr:rowOff>57150</xdr:rowOff>
    </xdr:from>
    <xdr:to>
      <xdr:col>14</xdr:col>
      <xdr:colOff>403860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7BF48-E7C3-C586-19CE-95CF5CD10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411480</xdr:colOff>
      <xdr:row>12</xdr:row>
      <xdr:rowOff>106680</xdr:rowOff>
    </xdr:from>
    <xdr:to>
      <xdr:col>35</xdr:col>
      <xdr:colOff>581167</xdr:colOff>
      <xdr:row>48</xdr:row>
      <xdr:rowOff>124746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08BC95-728C-FFD5-947E-5259EDD1E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2560" y="2301240"/>
          <a:ext cx="14670547" cy="6601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335F-9D4C-4C21-B51D-41F1DD32DA25}">
  <dimension ref="B3:M24"/>
  <sheetViews>
    <sheetView workbookViewId="0">
      <selection activeCell="D25" sqref="D25"/>
    </sheetView>
  </sheetViews>
  <sheetFormatPr defaultRowHeight="14.4" x14ac:dyDescent="0.3"/>
  <cols>
    <col min="3" max="3" width="8.88671875" style="2"/>
  </cols>
  <sheetData>
    <row r="3" spans="2:13" x14ac:dyDescent="0.3">
      <c r="B3" t="s">
        <v>0</v>
      </c>
      <c r="C3" s="2">
        <v>680</v>
      </c>
      <c r="D3" t="s">
        <v>3</v>
      </c>
      <c r="E3" t="s">
        <v>4</v>
      </c>
      <c r="F3">
        <v>27</v>
      </c>
    </row>
    <row r="4" spans="2:13" x14ac:dyDescent="0.3">
      <c r="B4" t="s">
        <v>1</v>
      </c>
      <c r="C4" s="2">
        <v>680</v>
      </c>
      <c r="D4" t="s">
        <v>3</v>
      </c>
      <c r="E4" t="s">
        <v>5</v>
      </c>
      <c r="F4">
        <v>390</v>
      </c>
    </row>
    <row r="5" spans="2:13" x14ac:dyDescent="0.3">
      <c r="B5" t="s">
        <v>2</v>
      </c>
      <c r="C5" s="2">
        <v>560</v>
      </c>
      <c r="D5" t="s">
        <v>3</v>
      </c>
      <c r="E5" t="s">
        <v>6</v>
      </c>
      <c r="F5">
        <f>+F3*F4/(F3+F4)</f>
        <v>25.25179856115108</v>
      </c>
    </row>
    <row r="6" spans="2:13" x14ac:dyDescent="0.3">
      <c r="B6" t="s">
        <v>7</v>
      </c>
      <c r="C6" s="2">
        <f>+SUM(C3:C5)</f>
        <v>1920</v>
      </c>
    </row>
    <row r="8" spans="2:13" x14ac:dyDescent="0.3">
      <c r="D8" t="s">
        <v>8</v>
      </c>
      <c r="F8">
        <f>+F5/(F5+C6)</f>
        <v>1.2981249306557195E-2</v>
      </c>
    </row>
    <row r="9" spans="2:13" x14ac:dyDescent="0.3">
      <c r="D9" t="s">
        <v>9</v>
      </c>
      <c r="F9">
        <v>384</v>
      </c>
    </row>
    <row r="10" spans="2:13" x14ac:dyDescent="0.3">
      <c r="D10" t="s">
        <v>10</v>
      </c>
      <c r="F10">
        <f>+F9*F8</f>
        <v>4.9847997337179626</v>
      </c>
    </row>
    <row r="11" spans="2:13" x14ac:dyDescent="0.3">
      <c r="D11" t="s">
        <v>11</v>
      </c>
      <c r="I11" t="s">
        <v>6</v>
      </c>
      <c r="J11" t="s">
        <v>7</v>
      </c>
      <c r="K11" t="s">
        <v>12</v>
      </c>
      <c r="L11" t="s">
        <v>13</v>
      </c>
      <c r="M11" t="s">
        <v>9</v>
      </c>
    </row>
    <row r="12" spans="2:13" x14ac:dyDescent="0.3">
      <c r="I12">
        <f>+F5</f>
        <v>25.25179856115108</v>
      </c>
      <c r="J12" s="2">
        <f>+C6</f>
        <v>1920</v>
      </c>
      <c r="K12">
        <v>-200</v>
      </c>
      <c r="L12" s="2">
        <f t="shared" ref="L12:L18" si="0">+J12+K12</f>
        <v>1720</v>
      </c>
      <c r="M12">
        <f t="shared" ref="M12:M18" si="1">5*(1+L12/I12)</f>
        <v>345.56980056980052</v>
      </c>
    </row>
    <row r="13" spans="2:13" x14ac:dyDescent="0.3">
      <c r="I13">
        <f t="shared" ref="I13:J18" si="2">+I12</f>
        <v>25.25179856115108</v>
      </c>
      <c r="J13" s="2">
        <f t="shared" si="2"/>
        <v>1920</v>
      </c>
      <c r="K13">
        <v>-100</v>
      </c>
      <c r="L13" s="2">
        <f t="shared" si="0"/>
        <v>1820</v>
      </c>
      <c r="M13">
        <f t="shared" si="1"/>
        <v>365.37037037037038</v>
      </c>
    </row>
    <row r="14" spans="2:13" x14ac:dyDescent="0.3">
      <c r="I14">
        <f t="shared" si="2"/>
        <v>25.25179856115108</v>
      </c>
      <c r="J14" s="2">
        <f t="shared" si="2"/>
        <v>1920</v>
      </c>
      <c r="K14">
        <v>-50</v>
      </c>
      <c r="L14" s="2">
        <f t="shared" si="0"/>
        <v>1870</v>
      </c>
      <c r="M14">
        <f t="shared" si="1"/>
        <v>375.27065527065525</v>
      </c>
    </row>
    <row r="15" spans="2:13" x14ac:dyDescent="0.3">
      <c r="C15">
        <v>460</v>
      </c>
      <c r="I15">
        <f t="shared" si="2"/>
        <v>25.25179856115108</v>
      </c>
      <c r="J15" s="2">
        <f t="shared" si="2"/>
        <v>1920</v>
      </c>
      <c r="K15">
        <v>0</v>
      </c>
      <c r="L15" s="2">
        <f t="shared" si="0"/>
        <v>1920</v>
      </c>
      <c r="M15">
        <f t="shared" si="1"/>
        <v>385.17094017094018</v>
      </c>
    </row>
    <row r="16" spans="2:13" x14ac:dyDescent="0.3">
      <c r="C16"/>
      <c r="I16">
        <f t="shared" si="2"/>
        <v>25.25179856115108</v>
      </c>
      <c r="J16" s="2">
        <f t="shared" si="2"/>
        <v>1920</v>
      </c>
      <c r="K16">
        <v>50</v>
      </c>
      <c r="L16" s="2">
        <f t="shared" si="0"/>
        <v>1970</v>
      </c>
      <c r="M16">
        <f t="shared" si="1"/>
        <v>395.07122507122506</v>
      </c>
    </row>
    <row r="17" spans="3:13" x14ac:dyDescent="0.3">
      <c r="C17"/>
      <c r="D17" t="s">
        <v>7</v>
      </c>
      <c r="E17" s="2">
        <f>+J16</f>
        <v>1920</v>
      </c>
      <c r="I17">
        <f t="shared" si="2"/>
        <v>25.25179856115108</v>
      </c>
      <c r="J17" s="2">
        <f t="shared" si="2"/>
        <v>1920</v>
      </c>
      <c r="K17">
        <v>100</v>
      </c>
      <c r="L17" s="2">
        <f t="shared" si="0"/>
        <v>2020</v>
      </c>
      <c r="M17">
        <f t="shared" si="1"/>
        <v>404.97150997150993</v>
      </c>
    </row>
    <row r="18" spans="3:13" x14ac:dyDescent="0.3">
      <c r="C18"/>
      <c r="D18" t="s">
        <v>14</v>
      </c>
      <c r="E18" s="2">
        <f>+E17-200</f>
        <v>1720</v>
      </c>
      <c r="I18">
        <f t="shared" si="2"/>
        <v>25.25179856115108</v>
      </c>
      <c r="J18" s="2">
        <f t="shared" si="2"/>
        <v>1920</v>
      </c>
      <c r="K18">
        <v>200</v>
      </c>
      <c r="L18" s="2">
        <f t="shared" si="0"/>
        <v>2120</v>
      </c>
      <c r="M18">
        <f t="shared" si="1"/>
        <v>424.77207977207973</v>
      </c>
    </row>
    <row r="19" spans="3:13" x14ac:dyDescent="0.3">
      <c r="C19"/>
      <c r="D19" t="s">
        <v>15</v>
      </c>
      <c r="E19">
        <f>+(E18*E17)/(E17-E18)</f>
        <v>16512</v>
      </c>
      <c r="F19" t="s">
        <v>16</v>
      </c>
    </row>
    <row r="20" spans="3:13" x14ac:dyDescent="0.3">
      <c r="C20"/>
    </row>
    <row r="21" spans="3:13" x14ac:dyDescent="0.3">
      <c r="C21"/>
    </row>
    <row r="22" spans="3:13" x14ac:dyDescent="0.3">
      <c r="C22"/>
      <c r="D22" t="s">
        <v>7</v>
      </c>
      <c r="E22" s="2">
        <v>560</v>
      </c>
    </row>
    <row r="23" spans="3:13" x14ac:dyDescent="0.3">
      <c r="C23"/>
      <c r="D23" t="s">
        <v>14</v>
      </c>
      <c r="E23" s="2">
        <v>360</v>
      </c>
    </row>
    <row r="24" spans="3:13" x14ac:dyDescent="0.3">
      <c r="C24"/>
      <c r="D24" t="s">
        <v>15</v>
      </c>
      <c r="E24">
        <f>+(E23*E22)/(E22-E23)</f>
        <v>1008</v>
      </c>
    </row>
  </sheetData>
  <phoneticPr fontId="1" type="noConversion"/>
  <pageMargins left="0.7" right="0.7" top="0.75" bottom="0.75" header="0.3" footer="0.3"/>
  <pageSetup orientation="portrait" r:id="rId1"/>
  <headerFooter>
    <oddFooter>&amp;R_x000D_&amp;1#&amp;"Arial"&amp;10&amp;K000000 Confidential 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5266-88E0-4CDA-B34E-4F2EA9F4F65A}">
  <dimension ref="B3:O26"/>
  <sheetViews>
    <sheetView workbookViewId="0">
      <selection activeCell="I20" sqref="I20"/>
    </sheetView>
  </sheetViews>
  <sheetFormatPr defaultRowHeight="14.4" x14ac:dyDescent="0.3"/>
  <cols>
    <col min="3" max="3" width="8.88671875" style="2"/>
  </cols>
  <sheetData>
    <row r="3" spans="2:13" x14ac:dyDescent="0.3">
      <c r="B3" t="s">
        <v>0</v>
      </c>
      <c r="C3" s="2">
        <v>680</v>
      </c>
      <c r="D3" t="s">
        <v>3</v>
      </c>
      <c r="E3" t="s">
        <v>4</v>
      </c>
      <c r="F3">
        <v>27</v>
      </c>
    </row>
    <row r="4" spans="2:13" x14ac:dyDescent="0.3">
      <c r="B4" t="s">
        <v>1</v>
      </c>
      <c r="C4" s="2">
        <v>680</v>
      </c>
      <c r="D4" t="s">
        <v>3</v>
      </c>
      <c r="E4" t="s">
        <v>5</v>
      </c>
      <c r="F4">
        <v>390</v>
      </c>
    </row>
    <row r="5" spans="2:13" x14ac:dyDescent="0.3">
      <c r="B5" t="s">
        <v>2</v>
      </c>
      <c r="C5" s="2">
        <v>560</v>
      </c>
      <c r="D5" t="s">
        <v>3</v>
      </c>
      <c r="E5" t="s">
        <v>6</v>
      </c>
      <c r="F5">
        <f>+F3*F4/(F3+F4)</f>
        <v>25.25179856115108</v>
      </c>
    </row>
    <row r="6" spans="2:13" x14ac:dyDescent="0.3">
      <c r="B6" t="s">
        <v>7</v>
      </c>
      <c r="C6" s="2">
        <f>+SUM(C3:C5)</f>
        <v>1920</v>
      </c>
    </row>
    <row r="8" spans="2:13" x14ac:dyDescent="0.3">
      <c r="D8" t="s">
        <v>8</v>
      </c>
      <c r="F8">
        <f>+F5/(F5+C6)</f>
        <v>1.2981249306557195E-2</v>
      </c>
    </row>
    <row r="9" spans="2:13" x14ac:dyDescent="0.3">
      <c r="D9" t="s">
        <v>9</v>
      </c>
      <c r="F9">
        <v>384</v>
      </c>
    </row>
    <row r="10" spans="2:13" x14ac:dyDescent="0.3">
      <c r="D10" t="s">
        <v>10</v>
      </c>
      <c r="F10">
        <f>+F9*F8</f>
        <v>4.9847997337179626</v>
      </c>
    </row>
    <row r="11" spans="2:13" x14ac:dyDescent="0.3">
      <c r="D11" t="s">
        <v>11</v>
      </c>
      <c r="G11" t="s">
        <v>19</v>
      </c>
      <c r="H11" t="s">
        <v>6</v>
      </c>
      <c r="I11" t="s">
        <v>6</v>
      </c>
      <c r="J11" t="s">
        <v>7</v>
      </c>
      <c r="K11" t="s">
        <v>17</v>
      </c>
      <c r="L11" t="s">
        <v>18</v>
      </c>
      <c r="M11" t="s">
        <v>9</v>
      </c>
    </row>
    <row r="12" spans="2:13" x14ac:dyDescent="0.3">
      <c r="G12" s="1">
        <f>220+20</f>
        <v>240</v>
      </c>
      <c r="H12">
        <f>+F5</f>
        <v>25.25179856115108</v>
      </c>
      <c r="I12">
        <f>+H12*G12/(H12+G12)</f>
        <v>22.847843775427179</v>
      </c>
      <c r="J12" s="2">
        <f>+C6</f>
        <v>1920</v>
      </c>
      <c r="K12">
        <v>0</v>
      </c>
      <c r="L12" s="2">
        <f t="shared" ref="L12:L17" si="0">+K12+I12</f>
        <v>22.847843775427179</v>
      </c>
      <c r="M12">
        <f t="shared" ref="M12:M17" si="1">5*(1+J12/L12)</f>
        <v>425.17094017094007</v>
      </c>
    </row>
    <row r="13" spans="2:13" x14ac:dyDescent="0.3">
      <c r="G13" s="1">
        <f>+G12</f>
        <v>240</v>
      </c>
      <c r="H13">
        <f>+H12</f>
        <v>25.25179856115108</v>
      </c>
      <c r="I13">
        <f>+I12</f>
        <v>22.847843775427179</v>
      </c>
      <c r="J13" s="2">
        <f>+J12</f>
        <v>1920</v>
      </c>
      <c r="K13">
        <v>1</v>
      </c>
      <c r="L13" s="2">
        <f t="shared" si="0"/>
        <v>23.847843775427179</v>
      </c>
      <c r="M13">
        <f t="shared" si="1"/>
        <v>407.55211709713734</v>
      </c>
    </row>
    <row r="14" spans="2:13" x14ac:dyDescent="0.3">
      <c r="G14">
        <f>+G13</f>
        <v>240</v>
      </c>
      <c r="H14">
        <f t="shared" ref="H14:J17" si="2">+H13</f>
        <v>25.25179856115108</v>
      </c>
      <c r="I14">
        <f t="shared" si="2"/>
        <v>22.847843775427179</v>
      </c>
      <c r="J14" s="2">
        <f t="shared" si="2"/>
        <v>1920</v>
      </c>
      <c r="K14">
        <v>2</v>
      </c>
      <c r="L14" s="2">
        <f t="shared" si="0"/>
        <v>24.847843775427179</v>
      </c>
      <c r="M14">
        <f t="shared" si="1"/>
        <v>391.35143100399495</v>
      </c>
    </row>
    <row r="15" spans="2:13" x14ac:dyDescent="0.3">
      <c r="C15">
        <v>460</v>
      </c>
      <c r="G15">
        <f>+G14</f>
        <v>240</v>
      </c>
      <c r="H15">
        <f t="shared" si="2"/>
        <v>25.25179856115108</v>
      </c>
      <c r="I15">
        <f t="shared" si="2"/>
        <v>22.847843775427179</v>
      </c>
      <c r="J15" s="2">
        <f t="shared" si="2"/>
        <v>1920</v>
      </c>
      <c r="K15">
        <v>3</v>
      </c>
      <c r="L15" s="2">
        <f t="shared" si="0"/>
        <v>25.847843775427179</v>
      </c>
      <c r="M15">
        <f t="shared" si="1"/>
        <v>376.40428746812722</v>
      </c>
    </row>
    <row r="16" spans="2:13" x14ac:dyDescent="0.3">
      <c r="C16"/>
      <c r="G16">
        <f>+G15</f>
        <v>240</v>
      </c>
      <c r="H16">
        <f t="shared" si="2"/>
        <v>25.25179856115108</v>
      </c>
      <c r="I16">
        <f t="shared" si="2"/>
        <v>22.847843775427179</v>
      </c>
      <c r="J16" s="2">
        <f t="shared" si="2"/>
        <v>1920</v>
      </c>
      <c r="K16">
        <v>4</v>
      </c>
      <c r="L16" s="2">
        <f t="shared" si="0"/>
        <v>26.847843775427179</v>
      </c>
      <c r="M16">
        <f t="shared" si="1"/>
        <v>362.57061461995391</v>
      </c>
    </row>
    <row r="17" spans="3:15" x14ac:dyDescent="0.3">
      <c r="C17"/>
      <c r="D17" t="s">
        <v>7</v>
      </c>
      <c r="E17" s="2">
        <f>+J16</f>
        <v>1920</v>
      </c>
      <c r="G17">
        <f>+G16</f>
        <v>240</v>
      </c>
      <c r="H17">
        <f t="shared" si="2"/>
        <v>25.25179856115108</v>
      </c>
      <c r="I17">
        <f t="shared" si="2"/>
        <v>22.847843775427179</v>
      </c>
      <c r="J17" s="2">
        <f t="shared" si="2"/>
        <v>1920</v>
      </c>
      <c r="K17">
        <v>5</v>
      </c>
      <c r="L17" s="2">
        <f t="shared" si="0"/>
        <v>27.847843775427179</v>
      </c>
      <c r="M17">
        <f t="shared" si="1"/>
        <v>349.7304601899196</v>
      </c>
    </row>
    <row r="18" spans="3:15" x14ac:dyDescent="0.3">
      <c r="C18"/>
      <c r="D18" t="s">
        <v>14</v>
      </c>
      <c r="E18" s="2">
        <f>+E17-200</f>
        <v>1720</v>
      </c>
      <c r="J18" s="2"/>
      <c r="L18" s="2"/>
    </row>
    <row r="19" spans="3:15" x14ac:dyDescent="0.3">
      <c r="C19"/>
      <c r="D19" t="s">
        <v>15</v>
      </c>
      <c r="E19">
        <f>+(E18*E17)/(E17-E18)</f>
        <v>16512</v>
      </c>
      <c r="F19" t="s">
        <v>16</v>
      </c>
    </row>
    <row r="20" spans="3:15" x14ac:dyDescent="0.3">
      <c r="C20"/>
    </row>
    <row r="21" spans="3:15" x14ac:dyDescent="0.3">
      <c r="C21"/>
    </row>
    <row r="22" spans="3:15" x14ac:dyDescent="0.3">
      <c r="C22"/>
      <c r="D22" t="s">
        <v>7</v>
      </c>
      <c r="E22" s="2">
        <v>560</v>
      </c>
    </row>
    <row r="23" spans="3:15" x14ac:dyDescent="0.3">
      <c r="C23"/>
      <c r="D23" t="s">
        <v>14</v>
      </c>
      <c r="E23" s="2">
        <v>360</v>
      </c>
    </row>
    <row r="24" spans="3:15" x14ac:dyDescent="0.3">
      <c r="C24"/>
      <c r="D24" t="s">
        <v>15</v>
      </c>
      <c r="E24">
        <f>+(E23*E22)/(E22-E23)</f>
        <v>1008</v>
      </c>
      <c r="M24">
        <v>47</v>
      </c>
      <c r="N24">
        <v>140</v>
      </c>
      <c r="O24">
        <f>+(M24*N24)/(M24+N24)</f>
        <v>35.18716577540107</v>
      </c>
    </row>
    <row r="25" spans="3:15" x14ac:dyDescent="0.3">
      <c r="M25">
        <v>47</v>
      </c>
      <c r="N25">
        <v>50</v>
      </c>
      <c r="O25">
        <f>+(M25*N25)/(M25+N25)</f>
        <v>24.226804123711339</v>
      </c>
    </row>
    <row r="26" spans="3:15" x14ac:dyDescent="0.3">
      <c r="M26">
        <v>47</v>
      </c>
      <c r="N26">
        <v>40</v>
      </c>
      <c r="O26">
        <f>+(M26*N26)/(M26+N26)</f>
        <v>21.609195402298852</v>
      </c>
    </row>
  </sheetData>
  <pageMargins left="0.7" right="0.7" top="0.75" bottom="0.75" header="0.3" footer="0.3"/>
  <pageSetup orientation="portrait" r:id="rId1"/>
  <headerFooter>
    <oddFooter>&amp;R_x000D_&amp;1#&amp;"Arial"&amp;10&amp;K000000 Confidential C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6018-94D2-4F77-8FE2-9594079986E8}">
  <dimension ref="B1:W20"/>
  <sheetViews>
    <sheetView tabSelected="1" topLeftCell="G4" workbookViewId="0">
      <selection activeCell="Q27" sqref="Q27"/>
    </sheetView>
  </sheetViews>
  <sheetFormatPr defaultRowHeight="14.4" x14ac:dyDescent="0.3"/>
  <cols>
    <col min="11" max="11" width="23" bestFit="1" customWidth="1"/>
    <col min="12" max="12" width="5.21875" bestFit="1" customWidth="1"/>
    <col min="14" max="14" width="17.6640625" bestFit="1" customWidth="1"/>
    <col min="15" max="15" width="16" bestFit="1" customWidth="1"/>
  </cols>
  <sheetData>
    <row r="1" spans="2:23" x14ac:dyDescent="0.3">
      <c r="M1" t="s">
        <v>20</v>
      </c>
      <c r="N1" t="s">
        <v>21</v>
      </c>
      <c r="O1" t="s">
        <v>22</v>
      </c>
      <c r="P1" t="s">
        <v>22</v>
      </c>
    </row>
    <row r="2" spans="2:23" x14ac:dyDescent="0.3">
      <c r="B2" t="s">
        <v>0</v>
      </c>
      <c r="C2" s="2">
        <v>680</v>
      </c>
      <c r="D2" t="s">
        <v>3</v>
      </c>
      <c r="E2" t="s">
        <v>4</v>
      </c>
      <c r="F2">
        <v>27</v>
      </c>
      <c r="J2" s="2"/>
      <c r="L2" t="s">
        <v>4</v>
      </c>
      <c r="M2">
        <v>27</v>
      </c>
      <c r="N2">
        <v>27</v>
      </c>
      <c r="O2">
        <v>27</v>
      </c>
      <c r="P2">
        <v>27</v>
      </c>
      <c r="R2">
        <v>27</v>
      </c>
      <c r="S2">
        <v>27</v>
      </c>
      <c r="T2">
        <v>27</v>
      </c>
      <c r="U2">
        <v>27</v>
      </c>
      <c r="V2">
        <v>27</v>
      </c>
      <c r="W2">
        <v>27</v>
      </c>
    </row>
    <row r="3" spans="2:23" x14ac:dyDescent="0.3">
      <c r="B3" t="s">
        <v>1</v>
      </c>
      <c r="C3" s="2">
        <v>680</v>
      </c>
      <c r="D3" t="s">
        <v>3</v>
      </c>
      <c r="E3" t="s">
        <v>5</v>
      </c>
      <c r="F3">
        <v>390</v>
      </c>
      <c r="J3" s="2"/>
      <c r="L3" t="s">
        <v>5</v>
      </c>
      <c r="M3">
        <v>390</v>
      </c>
      <c r="N3">
        <v>390</v>
      </c>
      <c r="O3">
        <v>390</v>
      </c>
      <c r="P3">
        <v>390</v>
      </c>
      <c r="R3">
        <v>390</v>
      </c>
      <c r="S3">
        <v>390</v>
      </c>
      <c r="T3">
        <v>390</v>
      </c>
      <c r="U3">
        <v>390</v>
      </c>
      <c r="V3">
        <v>390</v>
      </c>
      <c r="W3">
        <v>390</v>
      </c>
    </row>
    <row r="4" spans="2:23" x14ac:dyDescent="0.3">
      <c r="B4" t="s">
        <v>2</v>
      </c>
      <c r="C4" s="2">
        <v>560</v>
      </c>
      <c r="D4" t="s">
        <v>3</v>
      </c>
      <c r="E4" t="s">
        <v>6</v>
      </c>
      <c r="F4">
        <f>+F2*F3/(F2+F3)</f>
        <v>25.25179856115108</v>
      </c>
      <c r="J4" s="2"/>
      <c r="N4" t="s">
        <v>25</v>
      </c>
      <c r="O4">
        <v>5</v>
      </c>
      <c r="P4">
        <v>0</v>
      </c>
      <c r="R4">
        <v>5</v>
      </c>
      <c r="S4">
        <v>4</v>
      </c>
      <c r="T4">
        <v>3</v>
      </c>
      <c r="U4">
        <v>2</v>
      </c>
      <c r="V4">
        <v>1</v>
      </c>
      <c r="W4">
        <v>0</v>
      </c>
    </row>
    <row r="5" spans="2:23" x14ac:dyDescent="0.3">
      <c r="B5" t="s">
        <v>7</v>
      </c>
      <c r="C5" s="2">
        <f>+SUM(C2:C4)</f>
        <v>1920</v>
      </c>
      <c r="L5" t="s">
        <v>6</v>
      </c>
      <c r="M5">
        <f>+M2*M3/(M2+M3)</f>
        <v>25.25179856115108</v>
      </c>
      <c r="N5">
        <f>+M5</f>
        <v>25.25179856115108</v>
      </c>
      <c r="O5">
        <f>+M5+O4</f>
        <v>30.25179856115108</v>
      </c>
      <c r="P5">
        <f>+N5+P4</f>
        <v>25.25179856115108</v>
      </c>
      <c r="R5">
        <f t="shared" ref="R5:W5" si="0">+$P5+R4</f>
        <v>30.25179856115108</v>
      </c>
      <c r="S5">
        <f t="shared" si="0"/>
        <v>29.25179856115108</v>
      </c>
      <c r="T5">
        <f t="shared" si="0"/>
        <v>28.25179856115108</v>
      </c>
      <c r="U5">
        <f t="shared" si="0"/>
        <v>27.25179856115108</v>
      </c>
      <c r="V5">
        <f t="shared" si="0"/>
        <v>26.25179856115108</v>
      </c>
      <c r="W5">
        <f t="shared" si="0"/>
        <v>25.25179856115108</v>
      </c>
    </row>
    <row r="6" spans="2:23" x14ac:dyDescent="0.3">
      <c r="C6" s="2"/>
      <c r="J6" s="2"/>
      <c r="L6" t="s">
        <v>7</v>
      </c>
      <c r="M6" s="2">
        <f>+SUM(C2:C4)</f>
        <v>1920</v>
      </c>
      <c r="N6" s="2">
        <f>+M6+5</f>
        <v>1925</v>
      </c>
      <c r="O6" s="2">
        <f>+$M6</f>
        <v>1920</v>
      </c>
      <c r="P6" s="2">
        <f>+$M6</f>
        <v>1920</v>
      </c>
      <c r="R6" s="2">
        <f t="shared" ref="R6:W6" si="1">+$M6</f>
        <v>1920</v>
      </c>
      <c r="S6" s="2">
        <f t="shared" si="1"/>
        <v>1920</v>
      </c>
      <c r="T6" s="2">
        <f t="shared" si="1"/>
        <v>1920</v>
      </c>
      <c r="U6" s="2">
        <f t="shared" si="1"/>
        <v>1920</v>
      </c>
      <c r="V6" s="2">
        <f t="shared" si="1"/>
        <v>1920</v>
      </c>
      <c r="W6" s="2">
        <f t="shared" si="1"/>
        <v>1920</v>
      </c>
    </row>
    <row r="7" spans="2:23" x14ac:dyDescent="0.3">
      <c r="C7" s="2"/>
      <c r="D7" t="s">
        <v>8</v>
      </c>
      <c r="F7">
        <f>+F4/(F4+C5)</f>
        <v>1.2981249306557195E-2</v>
      </c>
      <c r="J7" s="2"/>
      <c r="N7" t="s">
        <v>23</v>
      </c>
      <c r="O7" s="3">
        <v>470</v>
      </c>
      <c r="P7" s="4">
        <v>470</v>
      </c>
      <c r="R7" s="3">
        <v>470</v>
      </c>
      <c r="S7" s="3">
        <v>470</v>
      </c>
      <c r="T7" s="3">
        <v>470</v>
      </c>
      <c r="U7" s="3">
        <v>470</v>
      </c>
      <c r="V7" s="3">
        <v>470</v>
      </c>
      <c r="W7" s="3">
        <v>470</v>
      </c>
    </row>
    <row r="8" spans="2:23" x14ac:dyDescent="0.3">
      <c r="C8" s="2"/>
      <c r="D8" t="s">
        <v>9</v>
      </c>
      <c r="F8">
        <v>384</v>
      </c>
      <c r="J8" s="2"/>
      <c r="N8" t="s">
        <v>24</v>
      </c>
      <c r="O8">
        <f>+O5*O7/(O5+O7)</f>
        <v>28.422377220104988</v>
      </c>
      <c r="P8">
        <f>+P5*P7/(P5+P7)</f>
        <v>23.964264962231265</v>
      </c>
      <c r="R8">
        <f>+R5*R7/(R5+R7)</f>
        <v>28.422377220104988</v>
      </c>
      <c r="S8">
        <f>+S5*S7/(S5+S7)</f>
        <v>27.537898437950318</v>
      </c>
      <c r="T8">
        <f t="shared" ref="T8:V8" si="2">+T5*T7/(T5+T7)</f>
        <v>26.649869327288219</v>
      </c>
      <c r="U8">
        <f t="shared" si="2"/>
        <v>25.758268468416333</v>
      </c>
      <c r="V8">
        <f t="shared" si="2"/>
        <v>24.863074268980416</v>
      </c>
      <c r="W8">
        <f>+W5*W7/(W5+W7)</f>
        <v>23.964264962231265</v>
      </c>
    </row>
    <row r="9" spans="2:23" x14ac:dyDescent="0.3">
      <c r="C9" s="2"/>
      <c r="D9" t="s">
        <v>10</v>
      </c>
      <c r="F9">
        <f>+F8*F7</f>
        <v>4.9847997337179626</v>
      </c>
      <c r="J9" s="2"/>
    </row>
    <row r="10" spans="2:23" x14ac:dyDescent="0.3">
      <c r="C10" s="2"/>
      <c r="D10" t="s">
        <v>11</v>
      </c>
      <c r="J10" s="2"/>
    </row>
    <row r="13" spans="2:23" x14ac:dyDescent="0.3">
      <c r="K13" t="s">
        <v>8</v>
      </c>
      <c r="M13">
        <f>+M5/(M5+M6)</f>
        <v>1.2981249306557195E-2</v>
      </c>
      <c r="N13">
        <f>+N5/(N5+N6)</f>
        <v>1.2947968349410701E-2</v>
      </c>
      <c r="O13">
        <f>+O8/(O8+O6)</f>
        <v>1.4587379796292614E-2</v>
      </c>
      <c r="P13">
        <f>+P8/(P8+P6)</f>
        <v>1.232752339853164E-2</v>
      </c>
      <c r="R13">
        <f>+R8/(R8+R6)</f>
        <v>1.4587379796292614E-2</v>
      </c>
      <c r="S13">
        <f>+S8/(S8+S6)</f>
        <v>1.4139852405458949E-2</v>
      </c>
      <c r="T13">
        <f t="shared" ref="T13:W13" si="3">+T8/(T8+T6)</f>
        <v>1.3690119495653179E-2</v>
      </c>
      <c r="U13">
        <f t="shared" si="3"/>
        <v>1.3238164722636224E-2</v>
      </c>
      <c r="V13">
        <f t="shared" si="3"/>
        <v>1.2783971580274745E-2</v>
      </c>
      <c r="W13">
        <f t="shared" si="3"/>
        <v>1.232752339853164E-2</v>
      </c>
    </row>
    <row r="14" spans="2:23" x14ac:dyDescent="0.3">
      <c r="K14" t="s">
        <v>9</v>
      </c>
      <c r="M14">
        <v>384</v>
      </c>
      <c r="N14">
        <v>385</v>
      </c>
      <c r="O14">
        <v>384</v>
      </c>
      <c r="P14">
        <v>385</v>
      </c>
      <c r="R14">
        <v>384</v>
      </c>
      <c r="S14">
        <v>385</v>
      </c>
      <c r="T14">
        <v>386</v>
      </c>
      <c r="U14">
        <v>387</v>
      </c>
      <c r="V14">
        <v>388</v>
      </c>
      <c r="W14">
        <v>389</v>
      </c>
    </row>
    <row r="15" spans="2:23" x14ac:dyDescent="0.3">
      <c r="K15" t="s">
        <v>10</v>
      </c>
      <c r="M15">
        <f>+M14*M13</f>
        <v>4.9847997337179626</v>
      </c>
      <c r="N15">
        <f>+N14*N13</f>
        <v>4.9849678145231202</v>
      </c>
      <c r="O15">
        <f>+O14*O13</f>
        <v>5.6015538417763642</v>
      </c>
      <c r="P15">
        <f>+P14*P13</f>
        <v>4.7460965084346816</v>
      </c>
      <c r="R15">
        <f>+R14*R13</f>
        <v>5.6015538417763642</v>
      </c>
      <c r="S15">
        <f>+S14*S13</f>
        <v>5.4438431761016952</v>
      </c>
      <c r="T15">
        <f t="shared" ref="T15:W15" si="4">+T14*T13</f>
        <v>5.2843861253221274</v>
      </c>
      <c r="U15">
        <f t="shared" si="4"/>
        <v>5.1231697476602189</v>
      </c>
      <c r="V15">
        <f t="shared" si="4"/>
        <v>4.9601809731466009</v>
      </c>
      <c r="W15">
        <f t="shared" si="4"/>
        <v>4.795406602028808</v>
      </c>
    </row>
    <row r="16" spans="2:23" x14ac:dyDescent="0.3">
      <c r="K16" t="s">
        <v>11</v>
      </c>
      <c r="M16">
        <f t="shared" ref="M16:N16" si="5">5/M13</f>
        <v>385.17094017094018</v>
      </c>
      <c r="N16">
        <f t="shared" si="5"/>
        <v>386.16096866096871</v>
      </c>
      <c r="O16" s="3">
        <f>5/O13</f>
        <v>342.7620360766058</v>
      </c>
      <c r="P16" s="3">
        <f>5/P13</f>
        <v>405.59647208583368</v>
      </c>
      <c r="R16" s="3">
        <f>5/R13</f>
        <v>342.7620360766058</v>
      </c>
      <c r="S16" s="3">
        <f>5/S13</f>
        <v>353.61048026708244</v>
      </c>
      <c r="T16" s="3">
        <f t="shared" ref="T16:W16" si="6">5/T13</f>
        <v>365.2269070103863</v>
      </c>
      <c r="U16" s="3">
        <f t="shared" si="6"/>
        <v>377.69585926441846</v>
      </c>
      <c r="V16" s="3">
        <f t="shared" si="6"/>
        <v>391.11476184090071</v>
      </c>
      <c r="W16" s="3">
        <f t="shared" si="6"/>
        <v>405.59647208583368</v>
      </c>
    </row>
    <row r="17" spans="14:23" x14ac:dyDescent="0.3">
      <c r="N17" s="5" t="s">
        <v>27</v>
      </c>
      <c r="O17" s="5">
        <v>342.3</v>
      </c>
      <c r="P17" s="5">
        <v>405.2</v>
      </c>
    </row>
    <row r="19" spans="14:23" x14ac:dyDescent="0.3">
      <c r="Q19" t="s">
        <v>25</v>
      </c>
      <c r="R19">
        <f>+R4</f>
        <v>5</v>
      </c>
      <c r="S19">
        <f t="shared" ref="S19:W19" si="7">+S4</f>
        <v>4</v>
      </c>
      <c r="T19">
        <f t="shared" si="7"/>
        <v>3</v>
      </c>
      <c r="U19">
        <f t="shared" si="7"/>
        <v>2</v>
      </c>
      <c r="V19">
        <f t="shared" si="7"/>
        <v>1</v>
      </c>
      <c r="W19">
        <f t="shared" si="7"/>
        <v>0</v>
      </c>
    </row>
    <row r="20" spans="14:23" x14ac:dyDescent="0.3">
      <c r="Q20" t="s">
        <v>26</v>
      </c>
      <c r="R20">
        <f>+R16</f>
        <v>342.7620360766058</v>
      </c>
      <c r="S20">
        <f t="shared" ref="S20:W20" si="8">+S16</f>
        <v>353.61048026708244</v>
      </c>
      <c r="T20">
        <f t="shared" si="8"/>
        <v>365.2269070103863</v>
      </c>
      <c r="U20">
        <f t="shared" si="8"/>
        <v>377.69585926441846</v>
      </c>
      <c r="V20">
        <f t="shared" si="8"/>
        <v>391.11476184090071</v>
      </c>
      <c r="W20">
        <f t="shared" si="8"/>
        <v>405.59647208583368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</vt:lpstr>
      <vt:lpstr>ALIM1</vt:lpstr>
      <vt:lpstr>ALIM2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2025-12-19T11:11:09Z</dcterms:created>
  <dcterms:modified xsi:type="dcterms:W3CDTF">2026-01-25T16:26:32Z</dcterms:modified>
</cp:coreProperties>
</file>