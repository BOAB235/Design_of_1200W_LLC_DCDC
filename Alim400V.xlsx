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037702\NotSynchronized\git\Design_of_1200W_LLC_DCDC\"/>
    </mc:Choice>
  </mc:AlternateContent>
  <xr:revisionPtr revIDLastSave="0" documentId="8_{87DA3FC9-F1F6-4C2E-8CB9-B73D35442AED}" xr6:coauthVersionLast="47" xr6:coauthVersionMax="47" xr10:uidLastSave="{00000000-0000-0000-0000-000000000000}"/>
  <bookViews>
    <workbookView xWindow="-108" yWindow="-108" windowWidth="23256" windowHeight="12456" activeTab="1" xr2:uid="{61944083-4F3F-44B6-828A-7059F5989F4B}"/>
  </bookViews>
  <sheets>
    <sheet name="Sheet1" sheetId="1" r:id="rId1"/>
    <sheet name="Sheet1 (2)" sheetId="2" r:id="rId2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2" l="1"/>
  <c r="G13" i="2" s="1"/>
  <c r="G14" i="2" s="1"/>
  <c r="G15" i="2" s="1"/>
  <c r="G16" i="2" s="1"/>
  <c r="G17" i="2" s="1"/>
  <c r="O25" i="2"/>
  <c r="O26" i="2"/>
  <c r="O24" i="2"/>
  <c r="H12" i="2"/>
  <c r="H13" i="2"/>
  <c r="H14" i="2" s="1"/>
  <c r="H15" i="2" s="1"/>
  <c r="H16" i="2" s="1"/>
  <c r="H17" i="2" s="1"/>
  <c r="E24" i="2"/>
  <c r="J12" i="2"/>
  <c r="J13" i="2" s="1"/>
  <c r="C6" i="2"/>
  <c r="F5" i="2"/>
  <c r="F8" i="2" s="1"/>
  <c r="F10" i="2" s="1"/>
  <c r="L18" i="1"/>
  <c r="M18" i="1"/>
  <c r="I18" i="1"/>
  <c r="J18" i="1"/>
  <c r="E24" i="1"/>
  <c r="L17" i="1"/>
  <c r="M17" i="1"/>
  <c r="C6" i="1"/>
  <c r="J12" i="1" s="1"/>
  <c r="F5" i="1"/>
  <c r="I12" i="1" s="1"/>
  <c r="I13" i="1" s="1"/>
  <c r="I14" i="1" s="1"/>
  <c r="I15" i="1" s="1"/>
  <c r="I16" i="1" s="1"/>
  <c r="I12" i="2" l="1"/>
  <c r="L12" i="2" s="1"/>
  <c r="M12" i="2"/>
  <c r="I13" i="2"/>
  <c r="J14" i="2"/>
  <c r="I17" i="1"/>
  <c r="L12" i="1"/>
  <c r="M12" i="1" s="1"/>
  <c r="J13" i="1"/>
  <c r="F8" i="1"/>
  <c r="F10" i="1" s="1"/>
  <c r="I14" i="2" l="1"/>
  <c r="L13" i="2"/>
  <c r="M13" i="2" s="1"/>
  <c r="J15" i="2"/>
  <c r="J14" i="1"/>
  <c r="L13" i="1"/>
  <c r="M13" i="1" s="1"/>
  <c r="I15" i="2" l="1"/>
  <c r="L14" i="2"/>
  <c r="M14" i="2" s="1"/>
  <c r="J16" i="2"/>
  <c r="L14" i="1"/>
  <c r="M14" i="1" s="1"/>
  <c r="J15" i="1"/>
  <c r="I16" i="2" l="1"/>
  <c r="L15" i="2"/>
  <c r="M15" i="2" s="1"/>
  <c r="J17" i="2"/>
  <c r="E17" i="2"/>
  <c r="E18" i="2" s="1"/>
  <c r="E19" i="2" s="1"/>
  <c r="J16" i="1"/>
  <c r="L15" i="1"/>
  <c r="M15" i="1" s="1"/>
  <c r="I17" i="2" l="1"/>
  <c r="L17" i="2" s="1"/>
  <c r="M17" i="2" s="1"/>
  <c r="L16" i="2"/>
  <c r="M16" i="2" s="1"/>
  <c r="E17" i="1"/>
  <c r="E18" i="1" s="1"/>
  <c r="E19" i="1" s="1"/>
  <c r="L16" i="1"/>
  <c r="M16" i="1" s="1"/>
  <c r="J17" i="1"/>
</calcChain>
</file>

<file path=xl/sharedStrings.xml><?xml version="1.0" encoding="utf-8"?>
<sst xmlns="http://schemas.openxmlformats.org/spreadsheetml/2006/main" count="54" uniqueCount="20">
  <si>
    <t>R11</t>
  </si>
  <si>
    <t>R12</t>
  </si>
  <si>
    <t>R13</t>
  </si>
  <si>
    <t>K</t>
  </si>
  <si>
    <t>R2P1</t>
  </si>
  <si>
    <t>R2P2</t>
  </si>
  <si>
    <t>R2</t>
  </si>
  <si>
    <t>R1</t>
  </si>
  <si>
    <t>Rat = R2/R2+R1</t>
  </si>
  <si>
    <t>V1</t>
  </si>
  <si>
    <t>V2</t>
  </si>
  <si>
    <t xml:space="preserve">V1 = V2/Rat = V2(1+ R1/R2) </t>
  </si>
  <si>
    <t>R1_add</t>
  </si>
  <si>
    <t>R1"</t>
  </si>
  <si>
    <t xml:space="preserve">R1_Target </t>
  </si>
  <si>
    <t xml:space="preserve">R1paral </t>
  </si>
  <si>
    <t>R1_target = R1//R1paral</t>
  </si>
  <si>
    <t>R2_add</t>
  </si>
  <si>
    <t>R2"</t>
  </si>
  <si>
    <t>R2paral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</si>
</sst>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1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Sheet1!$M$11</c:f>
              <c:strCache>
                <c:ptCount val="1"/>
                <c:pt idx="0">
                  <c:v>V1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Sheet1!$K$12:$K$22</c:f>
              <c:numCache>
                <c:formatCode>General</c:formatCode>
                <c:ptCount val="11"/>
                <c:pt idx="0">
                  <c:v>-200</c:v>
                </c:pt>
                <c:pt idx="1">
                  <c:v>-100</c:v>
                </c:pt>
                <c:pt idx="2">
                  <c:v>-50</c:v>
                </c:pt>
                <c:pt idx="3">
                  <c:v>0</c:v>
                </c:pt>
                <c:pt idx="4">
                  <c:v>50</c:v>
                </c:pt>
                <c:pt idx="5">
                  <c:v>100</c:v>
                </c:pt>
                <c:pt idx="6">
                  <c:v>200</c:v>
                </c:pt>
              </c:numCache>
            </c:numRef>
          </c:xVal>
          <c:yVal>
            <c:numRef>
              <c:f>Sheet1!$M$12:$M$22</c:f>
              <c:numCache>
                <c:formatCode>General</c:formatCode>
                <c:ptCount val="11"/>
                <c:pt idx="0">
                  <c:v>345.56980056980052</c:v>
                </c:pt>
                <c:pt idx="1">
                  <c:v>365.37037037037038</c:v>
                </c:pt>
                <c:pt idx="2">
                  <c:v>375.27065527065525</c:v>
                </c:pt>
                <c:pt idx="3">
                  <c:v>385.17094017094018</c:v>
                </c:pt>
                <c:pt idx="4">
                  <c:v>395.07122507122506</c:v>
                </c:pt>
                <c:pt idx="5">
                  <c:v>404.97150997150993</c:v>
                </c:pt>
                <c:pt idx="6">
                  <c:v>424.77207977207973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D2A-45D9-8C42-5CC2B30469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9429407"/>
        <c:axId val="1229429887"/>
      </c:scatterChart>
      <c:valAx>
        <c:axId val="1229429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9429887"/>
        <c:crosses val="autoZero"/>
        <c:crossBetween val="midCat"/>
      </c:valAx>
      <c:valAx>
        <c:axId val="1229429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9429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'Sheet1 (2)'!$M$11</c:f>
              <c:strCache>
                <c:ptCount val="1"/>
                <c:pt idx="0">
                  <c:v>V1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'Sheet1 (2)'!$K$12:$K$22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'Sheet1 (2)'!$M$12:$M$22</c:f>
              <c:numCache>
                <c:formatCode>General</c:formatCode>
                <c:ptCount val="11"/>
                <c:pt idx="0">
                  <c:v>425.17094017094007</c:v>
                </c:pt>
                <c:pt idx="1">
                  <c:v>407.55211709713734</c:v>
                </c:pt>
                <c:pt idx="2">
                  <c:v>391.35143100399495</c:v>
                </c:pt>
                <c:pt idx="3">
                  <c:v>376.40428746812722</c:v>
                </c:pt>
                <c:pt idx="4">
                  <c:v>362.57061461995391</c:v>
                </c:pt>
                <c:pt idx="5">
                  <c:v>349.7304601899196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77D-46F1-B504-BAD9CC6B0E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9429407"/>
        <c:axId val="1229429887"/>
      </c:scatterChart>
      <c:valAx>
        <c:axId val="1229429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9429887"/>
        <c:crosses val="autoZero"/>
        <c:crossBetween val="midCat"/>
      </c:valAx>
      <c:valAx>
        <c:axId val="1229429887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9429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182880</xdr:colOff>
      <xdr:row>5</xdr:row>
      <xdr:rowOff>80010</xdr:rowOff>
    </xdr:from>
    <xdr:to>
      <xdr:col>20</xdr:col>
      <xdr:colOff>487680</xdr:colOff>
      <xdr:row>20</xdr:row>
      <xdr:rowOff>80010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68D79FB-0150-7330-73D9-2000857FC8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586740</xdr:colOff>
      <xdr:row>5</xdr:row>
      <xdr:rowOff>64770</xdr:rowOff>
    </xdr:from>
    <xdr:to>
      <xdr:col>22</xdr:col>
      <xdr:colOff>281940</xdr:colOff>
      <xdr:row>20</xdr:row>
      <xdr:rowOff>64770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872A1C2-DD33-486B-BF72-DD35DC0832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5335F-9D4C-4C21-B51D-41F1DD32DA25}">
  <dimension ref="B3:M24"/>
  <sheetViews>
    <sheetView workbookViewId="0">
      <selection activeCell="M16" sqref="M16"/>
    </sheetView>
  </sheetViews>
  <sheetFormatPr defaultRowHeight="14.4" x14ac:dyDescent="0.3"/>
  <cols>
    <col min="3" max="3" width="8.88671875" style="2"/>
  </cols>
  <sheetData>
    <row r="3" spans="2:13" x14ac:dyDescent="0.3">
      <c r="B3" t="s">
        <v>0</v>
      </c>
      <c r="C3" s="2">
        <v>680</v>
      </c>
      <c r="D3" t="s">
        <v>3</v>
      </c>
      <c r="E3" t="s">
        <v>4</v>
      </c>
      <c r="F3">
        <v>27</v>
      </c>
    </row>
    <row r="4" spans="2:13" x14ac:dyDescent="0.3">
      <c r="B4" t="s">
        <v>1</v>
      </c>
      <c r="C4" s="2">
        <v>680</v>
      </c>
      <c r="D4" t="s">
        <v>3</v>
      </c>
      <c r="E4" t="s">
        <v>5</v>
      </c>
      <c r="F4">
        <v>390</v>
      </c>
    </row>
    <row r="5" spans="2:13" x14ac:dyDescent="0.3">
      <c r="B5" t="s">
        <v>2</v>
      </c>
      <c r="C5" s="2">
        <v>560</v>
      </c>
      <c r="D5" t="s">
        <v>3</v>
      </c>
      <c r="E5" t="s">
        <v>6</v>
      </c>
      <c r="F5">
        <f>+F3*F4/(F3+F4)</f>
        <v>25.25179856115108</v>
      </c>
    </row>
    <row r="6" spans="2:13" x14ac:dyDescent="0.3">
      <c r="B6" t="s">
        <v>7</v>
      </c>
      <c r="C6" s="2">
        <f>+SUM(C3:C5)</f>
        <v>1920</v>
      </c>
    </row>
    <row r="8" spans="2:13" x14ac:dyDescent="0.3">
      <c r="D8" t="s">
        <v>8</v>
      </c>
      <c r="F8">
        <f>+F5/(F5+C6)</f>
        <v>1.2981249306557195E-2</v>
      </c>
    </row>
    <row r="9" spans="2:13" x14ac:dyDescent="0.3">
      <c r="D9" t="s">
        <v>9</v>
      </c>
      <c r="F9">
        <v>384</v>
      </c>
    </row>
    <row r="10" spans="2:13" x14ac:dyDescent="0.3">
      <c r="D10" t="s">
        <v>10</v>
      </c>
      <c r="F10">
        <f>+F9*F8</f>
        <v>4.9847997337179626</v>
      </c>
    </row>
    <row r="11" spans="2:13" x14ac:dyDescent="0.3">
      <c r="D11" t="s">
        <v>11</v>
      </c>
      <c r="I11" t="s">
        <v>6</v>
      </c>
      <c r="J11" t="s">
        <v>7</v>
      </c>
      <c r="K11" t="s">
        <v>12</v>
      </c>
      <c r="L11" t="s">
        <v>13</v>
      </c>
      <c r="M11" t="s">
        <v>9</v>
      </c>
    </row>
    <row r="12" spans="2:13" x14ac:dyDescent="0.3">
      <c r="I12">
        <f>+F5</f>
        <v>25.25179856115108</v>
      </c>
      <c r="J12" s="2">
        <f>+C6</f>
        <v>1920</v>
      </c>
      <c r="K12">
        <v>-200</v>
      </c>
      <c r="L12" s="2">
        <f t="shared" ref="L12:L18" si="0">+J12+K12</f>
        <v>1720</v>
      </c>
      <c r="M12">
        <f t="shared" ref="M12:M18" si="1">5*(1+L12/I12)</f>
        <v>345.56980056980052</v>
      </c>
    </row>
    <row r="13" spans="2:13" x14ac:dyDescent="0.3">
      <c r="I13">
        <f t="shared" ref="I13:J18" si="2">+I12</f>
        <v>25.25179856115108</v>
      </c>
      <c r="J13" s="2">
        <f t="shared" si="2"/>
        <v>1920</v>
      </c>
      <c r="K13">
        <v>-100</v>
      </c>
      <c r="L13" s="2">
        <f t="shared" si="0"/>
        <v>1820</v>
      </c>
      <c r="M13">
        <f t="shared" si="1"/>
        <v>365.37037037037038</v>
      </c>
    </row>
    <row r="14" spans="2:13" x14ac:dyDescent="0.3">
      <c r="I14">
        <f t="shared" si="2"/>
        <v>25.25179856115108</v>
      </c>
      <c r="J14" s="2">
        <f t="shared" si="2"/>
        <v>1920</v>
      </c>
      <c r="K14">
        <v>-50</v>
      </c>
      <c r="L14" s="2">
        <f t="shared" si="0"/>
        <v>1870</v>
      </c>
      <c r="M14">
        <f t="shared" si="1"/>
        <v>375.27065527065525</v>
      </c>
    </row>
    <row r="15" spans="2:13" x14ac:dyDescent="0.3">
      <c r="C15">
        <v>460</v>
      </c>
      <c r="I15">
        <f t="shared" si="2"/>
        <v>25.25179856115108</v>
      </c>
      <c r="J15" s="2">
        <f t="shared" si="2"/>
        <v>1920</v>
      </c>
      <c r="K15">
        <v>0</v>
      </c>
      <c r="L15" s="2">
        <f t="shared" si="0"/>
        <v>1920</v>
      </c>
      <c r="M15">
        <f t="shared" si="1"/>
        <v>385.17094017094018</v>
      </c>
    </row>
    <row r="16" spans="2:13" x14ac:dyDescent="0.3">
      <c r="C16"/>
      <c r="I16">
        <f t="shared" si="2"/>
        <v>25.25179856115108</v>
      </c>
      <c r="J16" s="2">
        <f t="shared" si="2"/>
        <v>1920</v>
      </c>
      <c r="K16">
        <v>50</v>
      </c>
      <c r="L16" s="2">
        <f t="shared" si="0"/>
        <v>1970</v>
      </c>
      <c r="M16">
        <f t="shared" si="1"/>
        <v>395.07122507122506</v>
      </c>
    </row>
    <row r="17" spans="3:13" x14ac:dyDescent="0.3">
      <c r="C17"/>
      <c r="D17" t="s">
        <v>7</v>
      </c>
      <c r="E17" s="2">
        <f>+J16</f>
        <v>1920</v>
      </c>
      <c r="I17">
        <f t="shared" si="2"/>
        <v>25.25179856115108</v>
      </c>
      <c r="J17" s="2">
        <f t="shared" si="2"/>
        <v>1920</v>
      </c>
      <c r="K17">
        <v>100</v>
      </c>
      <c r="L17" s="2">
        <f t="shared" si="0"/>
        <v>2020</v>
      </c>
      <c r="M17">
        <f t="shared" si="1"/>
        <v>404.97150997150993</v>
      </c>
    </row>
    <row r="18" spans="3:13" x14ac:dyDescent="0.3">
      <c r="C18"/>
      <c r="D18" t="s">
        <v>14</v>
      </c>
      <c r="E18" s="2">
        <f>+E17-200</f>
        <v>1720</v>
      </c>
      <c r="I18">
        <f t="shared" si="2"/>
        <v>25.25179856115108</v>
      </c>
      <c r="J18" s="2">
        <f t="shared" si="2"/>
        <v>1920</v>
      </c>
      <c r="K18">
        <v>200</v>
      </c>
      <c r="L18" s="2">
        <f t="shared" si="0"/>
        <v>2120</v>
      </c>
      <c r="M18">
        <f t="shared" si="1"/>
        <v>424.77207977207973</v>
      </c>
    </row>
    <row r="19" spans="3:13" x14ac:dyDescent="0.3">
      <c r="C19"/>
      <c r="D19" t="s">
        <v>15</v>
      </c>
      <c r="E19">
        <f>+(E18*E17)/(E17-E18)</f>
        <v>16512</v>
      </c>
      <c r="F19" t="s">
        <v>16</v>
      </c>
    </row>
    <row r="20" spans="3:13" x14ac:dyDescent="0.3">
      <c r="C20"/>
    </row>
    <row r="21" spans="3:13" x14ac:dyDescent="0.3">
      <c r="C21"/>
    </row>
    <row r="22" spans="3:13" x14ac:dyDescent="0.3">
      <c r="C22"/>
      <c r="D22" t="s">
        <v>7</v>
      </c>
      <c r="E22" s="2">
        <v>560</v>
      </c>
    </row>
    <row r="23" spans="3:13" x14ac:dyDescent="0.3">
      <c r="C23"/>
      <c r="D23" t="s">
        <v>14</v>
      </c>
      <c r="E23" s="2">
        <v>360</v>
      </c>
    </row>
    <row r="24" spans="3:13" x14ac:dyDescent="0.3">
      <c r="C24"/>
      <c r="D24" t="s">
        <v>15</v>
      </c>
      <c r="E24">
        <f>+(E23*E22)/(E22-E23)</f>
        <v>1008</v>
      </c>
    </row>
  </sheetData>
  <phoneticPr fontId="1" type="noConversion"/>
  <pageMargins left="0.7" right="0.7" top="0.75" bottom="0.75" header="0.3" footer="0.3"/>
  <pageSetup orientation="portrait" r:id="rId1"/>
  <headerFooter>
    <oddFooter>&amp;R_x000D_&amp;1#&amp;"Arial"&amp;10&amp;K000000 Confidential C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55266-88E0-4CDA-B34E-4F2EA9F4F65A}">
  <dimension ref="B3:O26"/>
  <sheetViews>
    <sheetView tabSelected="1" workbookViewId="0">
      <selection activeCell="K25" sqref="K25"/>
    </sheetView>
  </sheetViews>
  <sheetFormatPr defaultRowHeight="14.4" x14ac:dyDescent="0.3"/>
  <cols>
    <col min="3" max="3" width="8.88671875" style="2"/>
  </cols>
  <sheetData>
    <row r="3" spans="2:13" x14ac:dyDescent="0.3">
      <c r="B3" t="s">
        <v>0</v>
      </c>
      <c r="C3" s="2">
        <v>680</v>
      </c>
      <c r="D3" t="s">
        <v>3</v>
      </c>
      <c r="E3" t="s">
        <v>4</v>
      </c>
      <c r="F3">
        <v>27</v>
      </c>
    </row>
    <row r="4" spans="2:13" x14ac:dyDescent="0.3">
      <c r="B4" t="s">
        <v>1</v>
      </c>
      <c r="C4" s="2">
        <v>680</v>
      </c>
      <c r="D4" t="s">
        <v>3</v>
      </c>
      <c r="E4" t="s">
        <v>5</v>
      </c>
      <c r="F4">
        <v>390</v>
      </c>
    </row>
    <row r="5" spans="2:13" x14ac:dyDescent="0.3">
      <c r="B5" t="s">
        <v>2</v>
      </c>
      <c r="C5" s="2">
        <v>560</v>
      </c>
      <c r="D5" t="s">
        <v>3</v>
      </c>
      <c r="E5" t="s">
        <v>6</v>
      </c>
      <c r="F5">
        <f>+F3*F4/(F3+F4)</f>
        <v>25.25179856115108</v>
      </c>
    </row>
    <row r="6" spans="2:13" x14ac:dyDescent="0.3">
      <c r="B6" t="s">
        <v>7</v>
      </c>
      <c r="C6" s="2">
        <f>+SUM(C3:C5)</f>
        <v>1920</v>
      </c>
    </row>
    <row r="8" spans="2:13" x14ac:dyDescent="0.3">
      <c r="D8" t="s">
        <v>8</v>
      </c>
      <c r="F8">
        <f>+F5/(F5+C6)</f>
        <v>1.2981249306557195E-2</v>
      </c>
    </row>
    <row r="9" spans="2:13" x14ac:dyDescent="0.3">
      <c r="D9" t="s">
        <v>9</v>
      </c>
      <c r="F9">
        <v>384</v>
      </c>
    </row>
    <row r="10" spans="2:13" x14ac:dyDescent="0.3">
      <c r="D10" t="s">
        <v>10</v>
      </c>
      <c r="F10">
        <f>+F9*F8</f>
        <v>4.9847997337179626</v>
      </c>
    </row>
    <row r="11" spans="2:13" x14ac:dyDescent="0.3">
      <c r="D11" t="s">
        <v>11</v>
      </c>
      <c r="G11" t="s">
        <v>19</v>
      </c>
      <c r="H11" t="s">
        <v>6</v>
      </c>
      <c r="I11" t="s">
        <v>6</v>
      </c>
      <c r="J11" t="s">
        <v>7</v>
      </c>
      <c r="K11" t="s">
        <v>17</v>
      </c>
      <c r="L11" t="s">
        <v>18</v>
      </c>
      <c r="M11" t="s">
        <v>9</v>
      </c>
    </row>
    <row r="12" spans="2:13" x14ac:dyDescent="0.3">
      <c r="G12" s="1">
        <f>220+20</f>
        <v>240</v>
      </c>
      <c r="H12">
        <f>+F5</f>
        <v>25.25179856115108</v>
      </c>
      <c r="I12">
        <f>+H12*G12/(H12+G12)</f>
        <v>22.847843775427179</v>
      </c>
      <c r="J12" s="2">
        <f>+C6</f>
        <v>1920</v>
      </c>
      <c r="K12">
        <v>0</v>
      </c>
      <c r="L12" s="2">
        <f t="shared" ref="L12:L17" si="0">+K12+I12</f>
        <v>22.847843775427179</v>
      </c>
      <c r="M12">
        <f t="shared" ref="M12:M17" si="1">5*(1+J12/L12)</f>
        <v>425.17094017094007</v>
      </c>
    </row>
    <row r="13" spans="2:13" x14ac:dyDescent="0.3">
      <c r="G13" s="1">
        <f>+G12</f>
        <v>240</v>
      </c>
      <c r="H13">
        <f>+H12</f>
        <v>25.25179856115108</v>
      </c>
      <c r="I13">
        <f>+I12</f>
        <v>22.847843775427179</v>
      </c>
      <c r="J13" s="2">
        <f>+J12</f>
        <v>1920</v>
      </c>
      <c r="K13">
        <v>1</v>
      </c>
      <c r="L13" s="2">
        <f t="shared" si="0"/>
        <v>23.847843775427179</v>
      </c>
      <c r="M13">
        <f t="shared" si="1"/>
        <v>407.55211709713734</v>
      </c>
    </row>
    <row r="14" spans="2:13" x14ac:dyDescent="0.3">
      <c r="G14">
        <f>+G13</f>
        <v>240</v>
      </c>
      <c r="H14">
        <f t="shared" ref="H14:J17" si="2">+H13</f>
        <v>25.25179856115108</v>
      </c>
      <c r="I14">
        <f t="shared" si="2"/>
        <v>22.847843775427179</v>
      </c>
      <c r="J14" s="2">
        <f t="shared" si="2"/>
        <v>1920</v>
      </c>
      <c r="K14">
        <v>2</v>
      </c>
      <c r="L14" s="2">
        <f t="shared" si="0"/>
        <v>24.847843775427179</v>
      </c>
      <c r="M14">
        <f t="shared" si="1"/>
        <v>391.35143100399495</v>
      </c>
    </row>
    <row r="15" spans="2:13" x14ac:dyDescent="0.3">
      <c r="C15">
        <v>460</v>
      </c>
      <c r="G15">
        <f>+G14</f>
        <v>240</v>
      </c>
      <c r="H15">
        <f t="shared" si="2"/>
        <v>25.25179856115108</v>
      </c>
      <c r="I15">
        <f t="shared" si="2"/>
        <v>22.847843775427179</v>
      </c>
      <c r="J15" s="2">
        <f t="shared" si="2"/>
        <v>1920</v>
      </c>
      <c r="K15">
        <v>3</v>
      </c>
      <c r="L15" s="2">
        <f t="shared" si="0"/>
        <v>25.847843775427179</v>
      </c>
      <c r="M15">
        <f t="shared" si="1"/>
        <v>376.40428746812722</v>
      </c>
    </row>
    <row r="16" spans="2:13" x14ac:dyDescent="0.3">
      <c r="C16"/>
      <c r="G16">
        <f>+G15</f>
        <v>240</v>
      </c>
      <c r="H16">
        <f t="shared" si="2"/>
        <v>25.25179856115108</v>
      </c>
      <c r="I16">
        <f t="shared" si="2"/>
        <v>22.847843775427179</v>
      </c>
      <c r="J16" s="2">
        <f t="shared" si="2"/>
        <v>1920</v>
      </c>
      <c r="K16">
        <v>4</v>
      </c>
      <c r="L16" s="2">
        <f t="shared" si="0"/>
        <v>26.847843775427179</v>
      </c>
      <c r="M16">
        <f t="shared" si="1"/>
        <v>362.57061461995391</v>
      </c>
    </row>
    <row r="17" spans="3:15" x14ac:dyDescent="0.3">
      <c r="C17"/>
      <c r="D17" t="s">
        <v>7</v>
      </c>
      <c r="E17" s="2">
        <f>+J16</f>
        <v>1920</v>
      </c>
      <c r="G17">
        <f>+G16</f>
        <v>240</v>
      </c>
      <c r="H17">
        <f t="shared" si="2"/>
        <v>25.25179856115108</v>
      </c>
      <c r="I17">
        <f t="shared" si="2"/>
        <v>22.847843775427179</v>
      </c>
      <c r="J17" s="2">
        <f t="shared" si="2"/>
        <v>1920</v>
      </c>
      <c r="K17">
        <v>5</v>
      </c>
      <c r="L17" s="2">
        <f t="shared" si="0"/>
        <v>27.847843775427179</v>
      </c>
      <c r="M17">
        <f t="shared" si="1"/>
        <v>349.7304601899196</v>
      </c>
    </row>
    <row r="18" spans="3:15" x14ac:dyDescent="0.3">
      <c r="C18"/>
      <c r="D18" t="s">
        <v>14</v>
      </c>
      <c r="E18" s="2">
        <f>+E17-200</f>
        <v>1720</v>
      </c>
      <c r="J18" s="2"/>
      <c r="L18" s="2"/>
    </row>
    <row r="19" spans="3:15" x14ac:dyDescent="0.3">
      <c r="C19"/>
      <c r="D19" t="s">
        <v>15</v>
      </c>
      <c r="E19">
        <f>+(E18*E17)/(E17-E18)</f>
        <v>16512</v>
      </c>
      <c r="F19" t="s">
        <v>16</v>
      </c>
    </row>
    <row r="20" spans="3:15" x14ac:dyDescent="0.3">
      <c r="C20"/>
    </row>
    <row r="21" spans="3:15" x14ac:dyDescent="0.3">
      <c r="C21"/>
    </row>
    <row r="22" spans="3:15" x14ac:dyDescent="0.3">
      <c r="C22"/>
      <c r="D22" t="s">
        <v>7</v>
      </c>
      <c r="E22" s="2">
        <v>560</v>
      </c>
    </row>
    <row r="23" spans="3:15" x14ac:dyDescent="0.3">
      <c r="C23"/>
      <c r="D23" t="s">
        <v>14</v>
      </c>
      <c r="E23" s="2">
        <v>360</v>
      </c>
    </row>
    <row r="24" spans="3:15" x14ac:dyDescent="0.3">
      <c r="C24"/>
      <c r="D24" t="s">
        <v>15</v>
      </c>
      <c r="E24">
        <f>+(E23*E22)/(E22-E23)</f>
        <v>1008</v>
      </c>
      <c r="M24">
        <v>47</v>
      </c>
      <c r="N24">
        <v>140</v>
      </c>
      <c r="O24">
        <f>+(M24*N24)/(M24+N24)</f>
        <v>35.18716577540107</v>
      </c>
    </row>
    <row r="25" spans="3:15" x14ac:dyDescent="0.3">
      <c r="M25">
        <v>47</v>
      </c>
      <c r="N25">
        <v>50</v>
      </c>
      <c r="O25">
        <f>+(M25*N25)/(M25+N25)</f>
        <v>24.226804123711339</v>
      </c>
    </row>
    <row r="26" spans="3:15" x14ac:dyDescent="0.3">
      <c r="M26">
        <v>47</v>
      </c>
      <c r="N26">
        <v>40</v>
      </c>
      <c r="O26">
        <f>+(M26*N26)/(M26+N26)</f>
        <v>21.609195402298852</v>
      </c>
    </row>
  </sheetData>
  <pageMargins left="0.7" right="0.7" top="0.75" bottom="0.75" header="0.3" footer="0.3"/>
  <pageSetup orientation="portrait" r:id="rId1"/>
  <headerFooter>
    <oddFooter>&amp;R_x000D_&amp;1#&amp;"Arial"&amp;10&amp;K000000 Confidential C</oddFooter>
  </headerFooter>
  <drawing r:id="rId2"/>
</worksheet>
</file>

<file path=docMetadata/LabelInfo.xml><?xml version="1.0" encoding="utf-8"?>
<clbl:labelList xmlns:clbl="http://schemas.microsoft.com/office/2020/mipLabelMetadata">
  <clbl:label id="{fd1c0902-ed92-4fed-896d-2e7725de02d4}" enabled="1" method="Standard" siteId="{d6b0bbee-7cd9-4d60-bce6-4a67b543e2ae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Sheet1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BOUZIANI Abdelaziz (AMPERE)</dc:creator>
  <cp:lastModifiedBy>BOUZIANI Abdelaziz (AMPERE)</cp:lastModifiedBy>
  <dcterms:created xsi:type="dcterms:W3CDTF">2025-12-19T11:11:09Z</dcterms:created>
  <dcterms:modified xsi:type="dcterms:W3CDTF">2025-12-23T13:40:46Z</dcterms:modified>
</cp:coreProperties>
</file>