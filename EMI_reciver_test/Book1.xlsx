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EMI_reciver_test\"/>
    </mc:Choice>
  </mc:AlternateContent>
  <xr:revisionPtr revIDLastSave="0" documentId="13_ncr:1_{3E2F74F3-CD39-4577-BCCD-BDA23375F2DF}" xr6:coauthVersionLast="47" xr6:coauthVersionMax="47" xr10:uidLastSave="{00000000-0000-0000-0000-000000000000}"/>
  <bookViews>
    <workbookView xWindow="-108" yWindow="-108" windowWidth="23256" windowHeight="12456" xr2:uid="{9C33C6A0-918B-4630-92BC-87066EDFA1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0" i="1"/>
  <c r="F9" i="1"/>
  <c r="F7" i="1"/>
  <c r="F16" i="1"/>
  <c r="F22" i="1"/>
  <c r="F25" i="1" s="1"/>
  <c r="F26" i="1" s="1"/>
  <c r="F18" i="1"/>
  <c r="F19" i="1" s="1"/>
  <c r="F8" i="1"/>
  <c r="F17" i="1" l="1"/>
</calcChain>
</file>

<file path=xl/sharedStrings.xml><?xml version="1.0" encoding="utf-8"?>
<sst xmlns="http://schemas.openxmlformats.org/spreadsheetml/2006/main" count="58" uniqueCount="51">
  <si>
    <t xml:space="preserve">horizental </t>
  </si>
  <si>
    <t xml:space="preserve">vertical </t>
  </si>
  <si>
    <t>v/div</t>
  </si>
  <si>
    <t xml:space="preserve">resolution </t>
  </si>
  <si>
    <t>peak-to-peak</t>
  </si>
  <si>
    <t>V</t>
  </si>
  <si>
    <t xml:space="preserve">bits </t>
  </si>
  <si>
    <t xml:space="preserve">nom bits </t>
  </si>
  <si>
    <t xml:space="preserve">s/div </t>
  </si>
  <si>
    <t>V/div</t>
  </si>
  <si>
    <t xml:space="preserve">nb points </t>
  </si>
  <si>
    <t>s</t>
  </si>
  <si>
    <t xml:space="preserve">Ts </t>
  </si>
  <si>
    <t>fs</t>
  </si>
  <si>
    <t xml:space="preserve">Hz </t>
  </si>
  <si>
    <t>window time</t>
  </si>
  <si>
    <t xml:space="preserve">dbuv Min </t>
  </si>
  <si>
    <t xml:space="preserve">dbuV Max </t>
  </si>
  <si>
    <t>dBuV</t>
  </si>
  <si>
    <r>
      <t xml:space="preserve">Use at least </t>
    </r>
    <r>
      <rPr>
        <b/>
        <sz val="11"/>
        <color theme="1"/>
        <rFont val="Aptos Narrow"/>
        <family val="2"/>
        <scheme val="minor"/>
      </rPr>
      <t>~200 ms</t>
    </r>
    <r>
      <rPr>
        <sz val="11"/>
        <color theme="1"/>
        <rFont val="Aptos Narrow"/>
        <family val="2"/>
        <scheme val="minor"/>
      </rPr>
      <t xml:space="preserve"> record per frequency point if you are simulating quasi-peak and want reasonable accuracy (since discharge is 160 ms).</t>
    </r>
  </si>
  <si>
    <r>
      <t xml:space="preserve">But better will be </t>
    </r>
    <r>
      <rPr>
        <b/>
        <sz val="11"/>
        <color theme="1"/>
        <rFont val="Aptos Narrow"/>
        <family val="2"/>
        <scheme val="minor"/>
      </rPr>
      <t>500 ms-1 second</t>
    </r>
    <r>
      <rPr>
        <sz val="11"/>
        <color theme="1"/>
        <rFont val="Aptos Narrow"/>
        <family val="2"/>
        <scheme val="minor"/>
      </rPr>
      <t xml:space="preserve"> to cover multiple discharge constants and to allow average detector to work properly.</t>
    </r>
  </si>
  <si>
    <r>
      <t xml:space="preserve">For average detector, a </t>
    </r>
    <r>
      <rPr>
        <b/>
        <sz val="11"/>
        <color theme="1"/>
        <rFont val="Aptos Narrow"/>
        <family val="2"/>
        <scheme val="minor"/>
      </rPr>
      <t>full 1 second</t>
    </r>
    <r>
      <rPr>
        <sz val="11"/>
        <color theme="1"/>
        <rFont val="Aptos Narrow"/>
        <family val="2"/>
        <scheme val="minor"/>
      </rPr>
      <t xml:space="preserve"> is a good target, because that matches many measurement setups / dwell times.</t>
    </r>
  </si>
  <si>
    <t>CISPR 16-1-1 minimum dwell</t>
  </si>
  <si>
    <t xml:space="preserve">minimum dwell time </t>
  </si>
  <si>
    <t>Nb of capture (min)</t>
  </si>
  <si>
    <t>Detector</t>
  </si>
  <si>
    <t xml:space="preserve"> CISPR Requirement</t>
  </si>
  <si>
    <t xml:space="preserve"> Practical Recommendation</t>
  </si>
  <si>
    <t xml:space="preserve"> CISPR 16-1-1 Reference</t>
  </si>
  <si>
    <t>Quasi-Peak</t>
  </si>
  <si>
    <t xml:space="preserve"> Discharge constant: 160 ms (Band B)</t>
  </si>
  <si>
    <t xml:space="preserve"> 550 ms (Band C/D)</t>
  </si>
  <si>
    <t>Average</t>
  </si>
  <si>
    <t xml:space="preserve"> 1 s averaging time</t>
  </si>
  <si>
    <t xml:space="preserve"> 1–2 s for stability</t>
  </si>
  <si>
    <t xml:space="preserve"> Clause 6.5.3 (Average detector characteristics)</t>
  </si>
  <si>
    <t>Peak</t>
  </si>
  <si>
    <t xml:space="preserve"> No minimum time (instantaneous)</t>
  </si>
  <si>
    <t xml:space="preserve"> Same as QP for consistency</t>
  </si>
  <si>
    <t xml:space="preserve"> Clause 6.5.1 (Peak detector characteristics)</t>
  </si>
  <si>
    <t xml:space="preserve"> </t>
  </si>
  <si>
    <t xml:space="preserve"> ≥ 200 ms (better 500 ms–1 s), Clause 6.5.2.2 (Time constants for QP detector)</t>
  </si>
  <si>
    <t>time_to_get_data from scope</t>
  </si>
  <si>
    <t>s/window</t>
  </si>
  <si>
    <t>total measurement time</t>
  </si>
  <si>
    <t>min</t>
  </si>
  <si>
    <t>deltaF = 1/ (window time)</t>
  </si>
  <si>
    <t xml:space="preserve">f shanone </t>
  </si>
  <si>
    <t xml:space="preserve">Mhz </t>
  </si>
  <si>
    <t xml:space="preserve">must be &gt; 30Mhz </t>
  </si>
  <si>
    <t xml:space="preserve">!!!!!!!!!!!! It will be amplified by the if   =9khz , rule DF &lt; RBW /5 = 2khz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</si>
</sst>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3224-32B4-465B-ACA9-B7EB287D4E67}">
  <dimension ref="E4:J26"/>
  <sheetViews>
    <sheetView tabSelected="1" topLeftCell="A4" workbookViewId="0">
      <selection activeCell="I12" sqref="I12"/>
    </sheetView>
  </sheetViews>
  <sheetFormatPr defaultRowHeight="14.4" x14ac:dyDescent="0.3"/>
  <cols>
    <col min="5" max="5" width="24.109375" bestFit="1" customWidth="1"/>
  </cols>
  <sheetData>
    <row r="4" spans="5:10" x14ac:dyDescent="0.3">
      <c r="E4" t="s">
        <v>0</v>
      </c>
    </row>
    <row r="5" spans="5:10" x14ac:dyDescent="0.3">
      <c r="E5" t="s">
        <v>2</v>
      </c>
      <c r="F5" s="5">
        <v>0.01</v>
      </c>
      <c r="G5" t="s">
        <v>9</v>
      </c>
      <c r="J5" s="7" t="s">
        <v>19</v>
      </c>
    </row>
    <row r="6" spans="5:10" x14ac:dyDescent="0.3">
      <c r="E6" t="s">
        <v>7</v>
      </c>
      <c r="F6" s="5">
        <v>9</v>
      </c>
      <c r="G6" t="s">
        <v>6</v>
      </c>
      <c r="J6" s="7"/>
    </row>
    <row r="7" spans="5:10" x14ac:dyDescent="0.3">
      <c r="E7" t="s">
        <v>4</v>
      </c>
      <c r="F7" s="2">
        <f>+F5*10</f>
        <v>0.1</v>
      </c>
      <c r="G7" t="s">
        <v>5</v>
      </c>
      <c r="J7" s="7" t="s">
        <v>20</v>
      </c>
    </row>
    <row r="8" spans="5:10" x14ac:dyDescent="0.3">
      <c r="E8" t="s">
        <v>3</v>
      </c>
      <c r="F8" s="2">
        <f>+F7/(2^F6)</f>
        <v>1.9531250000000001E-4</v>
      </c>
      <c r="G8" t="s">
        <v>5</v>
      </c>
      <c r="J8" s="7"/>
    </row>
    <row r="9" spans="5:10" x14ac:dyDescent="0.3">
      <c r="E9" t="s">
        <v>17</v>
      </c>
      <c r="F9" s="4">
        <f>20*LOG10(F7/2)+120</f>
        <v>93.979400086720375</v>
      </c>
      <c r="G9" t="s">
        <v>18</v>
      </c>
      <c r="J9" s="7" t="s">
        <v>21</v>
      </c>
    </row>
    <row r="10" spans="5:10" x14ac:dyDescent="0.3">
      <c r="E10" t="s">
        <v>16</v>
      </c>
      <c r="F10" s="4">
        <f>20*LOG10(F8)+120</f>
        <v>45.814600780483389</v>
      </c>
      <c r="G10" t="s">
        <v>18</v>
      </c>
    </row>
    <row r="12" spans="5:10" x14ac:dyDescent="0.3">
      <c r="E12" s="8" t="s">
        <v>1</v>
      </c>
    </row>
    <row r="13" spans="5:10" x14ac:dyDescent="0.3">
      <c r="E13" t="s">
        <v>8</v>
      </c>
      <c r="F13" s="6">
        <v>2.0000000000000002E-5</v>
      </c>
      <c r="G13" t="s">
        <v>8</v>
      </c>
      <c r="J13" t="s">
        <v>22</v>
      </c>
    </row>
    <row r="14" spans="5:10" x14ac:dyDescent="0.3">
      <c r="E14" t="s">
        <v>10</v>
      </c>
      <c r="F14" s="6">
        <v>10000</v>
      </c>
    </row>
    <row r="15" spans="5:10" x14ac:dyDescent="0.3">
      <c r="E15" t="s">
        <v>23</v>
      </c>
      <c r="F15" s="6">
        <v>1E-3</v>
      </c>
      <c r="G15" t="s">
        <v>11</v>
      </c>
    </row>
    <row r="16" spans="5:10" x14ac:dyDescent="0.3">
      <c r="E16" t="s">
        <v>15</v>
      </c>
      <c r="F16">
        <f>+F13*10</f>
        <v>2.0000000000000001E-4</v>
      </c>
      <c r="G16" t="s">
        <v>11</v>
      </c>
    </row>
    <row r="17" spans="5:8" x14ac:dyDescent="0.3">
      <c r="E17" t="s">
        <v>46</v>
      </c>
      <c r="F17" s="2">
        <f>1/F16</f>
        <v>5000</v>
      </c>
      <c r="G17" t="s">
        <v>14</v>
      </c>
      <c r="H17" t="s">
        <v>50</v>
      </c>
    </row>
    <row r="18" spans="5:8" x14ac:dyDescent="0.3">
      <c r="E18" t="s">
        <v>12</v>
      </c>
      <c r="F18" s="1">
        <f>+F16/F14</f>
        <v>2E-8</v>
      </c>
      <c r="G18" t="s">
        <v>11</v>
      </c>
    </row>
    <row r="19" spans="5:8" x14ac:dyDescent="0.3">
      <c r="E19" t="s">
        <v>13</v>
      </c>
      <c r="F19" s="3">
        <f>1/F18</f>
        <v>50000000</v>
      </c>
      <c r="G19" t="s">
        <v>14</v>
      </c>
    </row>
    <row r="20" spans="5:8" x14ac:dyDescent="0.3">
      <c r="E20" t="s">
        <v>47</v>
      </c>
      <c r="F20">
        <f>+F19*0.000001/2</f>
        <v>25</v>
      </c>
      <c r="G20" t="s">
        <v>48</v>
      </c>
      <c r="H20" t="s">
        <v>49</v>
      </c>
    </row>
    <row r="22" spans="5:8" x14ac:dyDescent="0.3">
      <c r="E22" t="s">
        <v>24</v>
      </c>
      <c r="F22">
        <f>+F15/F16</f>
        <v>5</v>
      </c>
    </row>
    <row r="24" spans="5:8" x14ac:dyDescent="0.3">
      <c r="E24" t="s">
        <v>42</v>
      </c>
      <c r="F24">
        <v>0.5</v>
      </c>
      <c r="G24" t="s">
        <v>43</v>
      </c>
    </row>
    <row r="25" spans="5:8" x14ac:dyDescent="0.3">
      <c r="E25" t="s">
        <v>44</v>
      </c>
      <c r="F25">
        <f>+F24*F22</f>
        <v>2.5</v>
      </c>
      <c r="G25" t="s">
        <v>11</v>
      </c>
    </row>
    <row r="26" spans="5:8" x14ac:dyDescent="0.3">
      <c r="F26">
        <f>+F25/60</f>
        <v>4.1666666666666664E-2</v>
      </c>
      <c r="G26" t="s">
        <v>45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B7B3-DA49-4EF1-B39B-6F8114458014}">
  <dimension ref="A1:E4"/>
  <sheetViews>
    <sheetView workbookViewId="0">
      <selection activeCell="D9" sqref="D9"/>
    </sheetView>
  </sheetViews>
  <sheetFormatPr defaultRowHeight="14.4" x14ac:dyDescent="0.3"/>
  <cols>
    <col min="1" max="1" width="10.33203125" bestFit="1" customWidth="1"/>
    <col min="2" max="2" width="31" bestFit="1" customWidth="1"/>
    <col min="3" max="3" width="23.6640625" bestFit="1" customWidth="1"/>
    <col min="4" max="4" width="39.5546875" bestFit="1" customWidth="1"/>
    <col min="5" max="5" width="39.6640625" bestFit="1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</row>
    <row r="2" spans="1:5" x14ac:dyDescent="0.3">
      <c r="A2" t="s">
        <v>29</v>
      </c>
      <c r="B2" t="s">
        <v>30</v>
      </c>
      <c r="C2" t="s">
        <v>31</v>
      </c>
      <c r="D2" t="s">
        <v>41</v>
      </c>
      <c r="E2" t="s">
        <v>40</v>
      </c>
    </row>
    <row r="3" spans="1:5" x14ac:dyDescent="0.3">
      <c r="A3" t="s">
        <v>32</v>
      </c>
      <c r="B3" t="s">
        <v>33</v>
      </c>
      <c r="C3" t="s">
        <v>34</v>
      </c>
      <c r="D3" t="s">
        <v>35</v>
      </c>
    </row>
    <row r="4" spans="1:5" x14ac:dyDescent="0.3">
      <c r="A4" t="s">
        <v>36</v>
      </c>
      <c r="B4" t="s">
        <v>37</v>
      </c>
      <c r="C4" t="s">
        <v>38</v>
      </c>
      <c r="D4" t="s">
        <v>39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2025-09-23T08:30:03Z</dcterms:created>
  <dcterms:modified xsi:type="dcterms:W3CDTF">2025-09-23T16:10:58Z</dcterms:modified>
</cp:coreProperties>
</file>