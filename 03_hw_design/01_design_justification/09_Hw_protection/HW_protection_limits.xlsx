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3_hw_design\01_design_justification\hw_protection\"/>
    </mc:Choice>
  </mc:AlternateContent>
  <xr:revisionPtr revIDLastSave="0" documentId="13_ncr:1_{71DD3BEB-6144-4836-BC02-6684FD47E295}" xr6:coauthVersionLast="47" xr6:coauthVersionMax="47" xr10:uidLastSave="{00000000-0000-0000-0000-000000000000}"/>
  <bookViews>
    <workbookView xWindow="-108" yWindow="-108" windowWidth="23256" windowHeight="12456" xr2:uid="{8EEAF97E-32D5-4B09-AA1D-170EC8480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37" i="1"/>
  <c r="H38" i="1"/>
  <c r="H36" i="1"/>
  <c r="L38" i="1"/>
  <c r="L39" i="1"/>
  <c r="L40" i="1"/>
  <c r="L41" i="1"/>
  <c r="L42" i="1"/>
  <c r="L37" i="1"/>
  <c r="L36" i="1"/>
  <c r="G23" i="1"/>
  <c r="G37" i="1"/>
  <c r="G38" i="1"/>
  <c r="G39" i="1" s="1"/>
  <c r="G36" i="1"/>
  <c r="D38" i="1"/>
  <c r="H23" i="1"/>
  <c r="H20" i="1"/>
  <c r="H21" i="1"/>
  <c r="H22" i="1"/>
  <c r="L22" i="1"/>
  <c r="L19" i="1"/>
  <c r="L20" i="1"/>
  <c r="L21" i="1"/>
  <c r="G22" i="1"/>
  <c r="D22" i="1"/>
  <c r="G21" i="1"/>
  <c r="G20" i="1"/>
  <c r="H16" i="1" l="1"/>
  <c r="H13" i="1"/>
  <c r="H14" i="1"/>
  <c r="H15" i="1"/>
  <c r="H12" i="1"/>
  <c r="E14" i="1"/>
  <c r="G15" i="1"/>
  <c r="G7" i="1"/>
  <c r="H7" i="1"/>
  <c r="H5" i="1"/>
  <c r="H6" i="1"/>
  <c r="H4" i="1"/>
  <c r="E6" i="1"/>
  <c r="E4" i="1"/>
</calcChain>
</file>

<file path=xl/sharedStrings.xml><?xml version="1.0" encoding="utf-8"?>
<sst xmlns="http://schemas.openxmlformats.org/spreadsheetml/2006/main" count="45" uniqueCount="26">
  <si>
    <t>R1</t>
  </si>
  <si>
    <t>R2</t>
  </si>
  <si>
    <t>RAT</t>
  </si>
  <si>
    <t xml:space="preserve">Vin </t>
  </si>
  <si>
    <t xml:space="preserve">Ohm </t>
  </si>
  <si>
    <t>Vin (v)</t>
  </si>
  <si>
    <t>V2</t>
  </si>
  <si>
    <t>125% Vmax</t>
  </si>
  <si>
    <t>Vout</t>
  </si>
  <si>
    <t>Vout (v)</t>
  </si>
  <si>
    <t xml:space="preserve">Iinp </t>
  </si>
  <si>
    <t>Value meas reel (set)</t>
  </si>
  <si>
    <t>Vin</t>
  </si>
  <si>
    <t>Pout</t>
  </si>
  <si>
    <t>eff</t>
  </si>
  <si>
    <t>Iinp (A)</t>
  </si>
  <si>
    <t>Zero Current Output Voltage</t>
  </si>
  <si>
    <t>Orange curve 5 uniderec</t>
  </si>
  <si>
    <t xml:space="preserve">mV </t>
  </si>
  <si>
    <t>mV (out of sensor)</t>
  </si>
  <si>
    <t>1.3*Imax</t>
  </si>
  <si>
    <t xml:space="preserve">Vout(0A) meas </t>
  </si>
  <si>
    <t>v</t>
  </si>
  <si>
    <t>Iout</t>
  </si>
  <si>
    <t>vcc</t>
  </si>
  <si>
    <t>(vcc=3.303)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</si>
</sst>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495300</xdr:colOff>
      <xdr:row>16</xdr:row>
      <xdr:rowOff>28208</xdr:rowOff>
    </xdr:from>
    <xdr:to>
      <xdr:col>17</xdr:col>
      <xdr:colOff>411806</xdr:colOff>
      <xdr:row>29</xdr:row>
      <xdr:rowOff>122191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B3C58-F1CD-B015-C9A3-8E6E1448F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7780" y="2954288"/>
          <a:ext cx="2964506" cy="2471423"/>
        </a:xfrm>
        <a:prstGeom prst="rect">
          <a:avLst/>
        </a:prstGeom>
      </xdr:spPr>
    </xdr:pic>
    <xdr:clientData/>
  </xdr:twoCellAnchor>
  <xdr:twoCellAnchor editAs="oneCell">
    <xdr:from>
      <xdr:col>17</xdr:col>
      <xdr:colOff>320040</xdr:colOff>
      <xdr:row>15</xdr:row>
      <xdr:rowOff>150128</xdr:rowOff>
    </xdr:from>
    <xdr:to>
      <xdr:col>29</xdr:col>
      <xdr:colOff>290191</xdr:colOff>
      <xdr:row>22</xdr:row>
      <xdr:rowOff>96894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C39E1A-16A5-1A43-793F-B66128428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80520" y="2893328"/>
          <a:ext cx="7285351" cy="1226926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30</xdr:row>
      <xdr:rowOff>159234</xdr:rowOff>
    </xdr:from>
    <xdr:to>
      <xdr:col>22</xdr:col>
      <xdr:colOff>130122</xdr:colOff>
      <xdr:row>41</xdr:row>
      <xdr:rowOff>84029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30D8D9-DA9A-5657-B1C4-7FF4E8C8C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0" y="5645634"/>
          <a:ext cx="5387922" cy="1936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9CB5-72AD-40F4-A490-684C1189F4C9}">
  <dimension ref="C3:O42"/>
  <sheetViews>
    <sheetView tabSelected="1" topLeftCell="B7" workbookViewId="0">
      <selection activeCell="K34" sqref="K34"/>
    </sheetView>
  </sheetViews>
  <sheetFormatPr defaultRowHeight="14.4" x14ac:dyDescent="0.3"/>
  <cols>
    <col min="6" max="6" width="10.33203125" bestFit="1" customWidth="1"/>
    <col min="11" max="11" width="23.44140625" bestFit="1" customWidth="1"/>
  </cols>
  <sheetData>
    <row r="3" spans="3:15" x14ac:dyDescent="0.3">
      <c r="C3" t="s">
        <v>3</v>
      </c>
      <c r="E3" t="s">
        <v>4</v>
      </c>
      <c r="G3" t="s">
        <v>5</v>
      </c>
      <c r="H3" t="s">
        <v>6</v>
      </c>
    </row>
    <row r="4" spans="3:15" x14ac:dyDescent="0.3">
      <c r="D4" t="s">
        <v>0</v>
      </c>
      <c r="E4">
        <f>56000*7</f>
        <v>392000</v>
      </c>
      <c r="G4">
        <v>360</v>
      </c>
      <c r="H4" s="2">
        <f>+G4*E$6</f>
        <v>0.91603053435114512</v>
      </c>
    </row>
    <row r="5" spans="3:15" x14ac:dyDescent="0.3">
      <c r="D5" t="s">
        <v>1</v>
      </c>
      <c r="E5" s="1">
        <v>1000</v>
      </c>
      <c r="G5">
        <v>380</v>
      </c>
      <c r="H5" s="2">
        <f t="shared" ref="H5:H7" si="0">+G5*E$6</f>
        <v>0.96692111959287541</v>
      </c>
    </row>
    <row r="6" spans="3:15" x14ac:dyDescent="0.3">
      <c r="D6" t="s">
        <v>2</v>
      </c>
      <c r="E6" s="1">
        <f>+E5/(E4+E5)</f>
        <v>2.5445292620865142E-3</v>
      </c>
      <c r="G6">
        <v>400</v>
      </c>
      <c r="H6" s="2">
        <f t="shared" si="0"/>
        <v>1.0178117048346056</v>
      </c>
      <c r="I6" t="s">
        <v>11</v>
      </c>
    </row>
    <row r="7" spans="3:15" x14ac:dyDescent="0.3">
      <c r="F7" t="s">
        <v>7</v>
      </c>
      <c r="G7">
        <f>+G6*1.25</f>
        <v>500</v>
      </c>
      <c r="H7" s="2">
        <f t="shared" si="0"/>
        <v>1.272264631043257</v>
      </c>
      <c r="I7">
        <v>1.2749999999999999</v>
      </c>
    </row>
    <row r="11" spans="3:15" x14ac:dyDescent="0.3">
      <c r="C11" t="s">
        <v>8</v>
      </c>
      <c r="E11" t="s">
        <v>4</v>
      </c>
      <c r="G11" t="s">
        <v>9</v>
      </c>
      <c r="H11" t="s">
        <v>6</v>
      </c>
    </row>
    <row r="12" spans="3:15" x14ac:dyDescent="0.3">
      <c r="D12" t="s">
        <v>0</v>
      </c>
      <c r="E12" s="1">
        <v>56000</v>
      </c>
      <c r="G12">
        <v>42</v>
      </c>
      <c r="H12" s="2">
        <f>+G12*E$14</f>
        <v>1.0956521739130434</v>
      </c>
    </row>
    <row r="13" spans="3:15" x14ac:dyDescent="0.3">
      <c r="D13" t="s">
        <v>1</v>
      </c>
      <c r="E13" s="1">
        <v>1500</v>
      </c>
      <c r="G13">
        <v>48</v>
      </c>
      <c r="H13" s="2">
        <f t="shared" ref="H13:H16" si="1">+G13*E$14</f>
        <v>1.2521739130434781</v>
      </c>
    </row>
    <row r="14" spans="3:15" x14ac:dyDescent="0.3">
      <c r="D14" t="s">
        <v>2</v>
      </c>
      <c r="E14" s="1">
        <f>+E13/(E12+E13)</f>
        <v>2.6086956521739129E-2</v>
      </c>
      <c r="G14">
        <v>54</v>
      </c>
      <c r="H14" s="2">
        <f t="shared" si="1"/>
        <v>1.4086956521739129</v>
      </c>
      <c r="I14" t="s">
        <v>11</v>
      </c>
    </row>
    <row r="15" spans="3:15" x14ac:dyDescent="0.3">
      <c r="F15" t="s">
        <v>7</v>
      </c>
      <c r="G15">
        <f>+G14*1.25</f>
        <v>67.5</v>
      </c>
      <c r="H15" s="2">
        <f t="shared" si="1"/>
        <v>1.7608695652173911</v>
      </c>
      <c r="I15">
        <v>1.764</v>
      </c>
    </row>
    <row r="16" spans="3:15" x14ac:dyDescent="0.3">
      <c r="G16">
        <v>109</v>
      </c>
      <c r="H16" s="2">
        <f t="shared" si="1"/>
        <v>2.8434782608695652</v>
      </c>
      <c r="O16" t="s">
        <v>17</v>
      </c>
    </row>
    <row r="17" spans="3:12" x14ac:dyDescent="0.3">
      <c r="L17" t="s">
        <v>18</v>
      </c>
    </row>
    <row r="18" spans="3:12" x14ac:dyDescent="0.3">
      <c r="K18" t="s">
        <v>16</v>
      </c>
      <c r="L18">
        <v>250</v>
      </c>
    </row>
    <row r="19" spans="3:12" x14ac:dyDescent="0.3">
      <c r="C19" t="s">
        <v>10</v>
      </c>
      <c r="D19" t="s">
        <v>13</v>
      </c>
      <c r="E19" t="s">
        <v>14</v>
      </c>
      <c r="F19" t="s">
        <v>12</v>
      </c>
      <c r="G19" t="s">
        <v>15</v>
      </c>
      <c r="H19" t="s">
        <v>19</v>
      </c>
      <c r="K19">
        <v>0</v>
      </c>
      <c r="L19">
        <f t="shared" ref="L19:L21" si="2">+K19*400+250</f>
        <v>250</v>
      </c>
    </row>
    <row r="20" spans="3:12" x14ac:dyDescent="0.3">
      <c r="D20">
        <v>1200</v>
      </c>
      <c r="E20">
        <v>0.9</v>
      </c>
      <c r="F20">
        <v>400</v>
      </c>
      <c r="G20">
        <f>+(D20/E20)/F20</f>
        <v>3.333333333333333</v>
      </c>
      <c r="H20">
        <f t="shared" ref="H20:H22" si="3">+G20*400+250</f>
        <v>1583.3333333333333</v>
      </c>
      <c r="K20">
        <v>2</v>
      </c>
      <c r="L20">
        <f t="shared" si="2"/>
        <v>1050</v>
      </c>
    </row>
    <row r="21" spans="3:12" x14ac:dyDescent="0.3">
      <c r="D21">
        <v>1200</v>
      </c>
      <c r="E21">
        <v>0.9</v>
      </c>
      <c r="F21">
        <v>360</v>
      </c>
      <c r="G21">
        <f>+(D21/E21)/F21</f>
        <v>3.7037037037037033</v>
      </c>
      <c r="H21">
        <f t="shared" si="3"/>
        <v>1731.4814814814813</v>
      </c>
      <c r="K21">
        <v>4</v>
      </c>
      <c r="L21">
        <f t="shared" si="2"/>
        <v>1850</v>
      </c>
    </row>
    <row r="22" spans="3:12" x14ac:dyDescent="0.3">
      <c r="C22" s="3">
        <v>0.1</v>
      </c>
      <c r="D22">
        <f>1.1*D21</f>
        <v>1320</v>
      </c>
      <c r="E22">
        <v>0.9</v>
      </c>
      <c r="F22">
        <v>360</v>
      </c>
      <c r="G22">
        <f>+(D22/E22)/F22</f>
        <v>4.0740740740740744</v>
      </c>
      <c r="H22">
        <f t="shared" si="3"/>
        <v>1879.6296296296298</v>
      </c>
      <c r="I22" t="s">
        <v>11</v>
      </c>
      <c r="K22">
        <v>6</v>
      </c>
      <c r="L22">
        <f>+K22*400+250</f>
        <v>2650</v>
      </c>
    </row>
    <row r="23" spans="3:12" x14ac:dyDescent="0.3">
      <c r="F23" t="s">
        <v>20</v>
      </c>
      <c r="G23">
        <f>+G22*1.3</f>
        <v>5.2962962962962967</v>
      </c>
      <c r="H23">
        <f>+G23*400+250</f>
        <v>2368.5185185185187</v>
      </c>
      <c r="I23">
        <v>2369</v>
      </c>
    </row>
    <row r="26" spans="3:12" x14ac:dyDescent="0.3">
      <c r="F26" t="s">
        <v>21</v>
      </c>
      <c r="G26">
        <v>0.20100000000000001</v>
      </c>
      <c r="H26" t="s">
        <v>22</v>
      </c>
    </row>
    <row r="34" spans="3:13" x14ac:dyDescent="0.3">
      <c r="L34" t="s">
        <v>24</v>
      </c>
      <c r="M34">
        <v>3300</v>
      </c>
    </row>
    <row r="35" spans="3:13" x14ac:dyDescent="0.3">
      <c r="C35" t="s">
        <v>23</v>
      </c>
      <c r="D35" t="s">
        <v>13</v>
      </c>
      <c r="E35" t="s">
        <v>14</v>
      </c>
      <c r="F35" t="s">
        <v>8</v>
      </c>
      <c r="G35" t="s">
        <v>15</v>
      </c>
      <c r="H35" t="s">
        <v>19</v>
      </c>
      <c r="L35" t="s">
        <v>18</v>
      </c>
    </row>
    <row r="36" spans="3:13" x14ac:dyDescent="0.3">
      <c r="D36">
        <v>1200</v>
      </c>
      <c r="E36">
        <v>0.9</v>
      </c>
      <c r="F36">
        <v>54</v>
      </c>
      <c r="G36">
        <f>D36/F36</f>
        <v>22.222222222222221</v>
      </c>
      <c r="H36">
        <f>+G36*50+$L$36</f>
        <v>1441.1111111111111</v>
      </c>
      <c r="K36" t="s">
        <v>16</v>
      </c>
      <c r="L36">
        <f>0.1*M34</f>
        <v>330</v>
      </c>
    </row>
    <row r="37" spans="3:13" x14ac:dyDescent="0.3">
      <c r="D37">
        <v>1200</v>
      </c>
      <c r="E37">
        <v>0.9</v>
      </c>
      <c r="F37">
        <v>48</v>
      </c>
      <c r="G37">
        <f t="shared" ref="G37:G39" si="4">D37/F37</f>
        <v>25</v>
      </c>
      <c r="H37">
        <f t="shared" ref="H37:H39" si="5">+G37*50+$L$36</f>
        <v>1580</v>
      </c>
      <c r="K37">
        <v>0</v>
      </c>
      <c r="L37">
        <f>+K37*50+$L$36</f>
        <v>330</v>
      </c>
    </row>
    <row r="38" spans="3:13" x14ac:dyDescent="0.3">
      <c r="C38" s="3">
        <v>0.1</v>
      </c>
      <c r="D38">
        <f>1.1*D37</f>
        <v>1320</v>
      </c>
      <c r="E38">
        <v>0.9</v>
      </c>
      <c r="F38">
        <v>42</v>
      </c>
      <c r="G38">
        <f t="shared" si="4"/>
        <v>31.428571428571427</v>
      </c>
      <c r="H38">
        <f t="shared" si="5"/>
        <v>1901.4285714285713</v>
      </c>
      <c r="I38" t="s">
        <v>11</v>
      </c>
      <c r="K38">
        <v>10</v>
      </c>
      <c r="L38">
        <f t="shared" ref="L38:L42" si="6">+K38*50+$L$36</f>
        <v>830</v>
      </c>
    </row>
    <row r="39" spans="3:13" x14ac:dyDescent="0.3">
      <c r="F39" t="s">
        <v>20</v>
      </c>
      <c r="G39">
        <f>+G38*1.3</f>
        <v>40.857142857142854</v>
      </c>
      <c r="H39">
        <f>+G39*50+$L$36</f>
        <v>2372.8571428571427</v>
      </c>
      <c r="I39">
        <v>2.3730000000000002</v>
      </c>
      <c r="J39" t="s">
        <v>22</v>
      </c>
      <c r="K39">
        <v>20</v>
      </c>
      <c r="L39">
        <f t="shared" si="6"/>
        <v>1330</v>
      </c>
    </row>
    <row r="40" spans="3:13" x14ac:dyDescent="0.3">
      <c r="K40">
        <v>30</v>
      </c>
      <c r="L40">
        <f t="shared" si="6"/>
        <v>1830</v>
      </c>
    </row>
    <row r="41" spans="3:13" x14ac:dyDescent="0.3">
      <c r="K41">
        <v>40</v>
      </c>
      <c r="L41">
        <f t="shared" si="6"/>
        <v>2330</v>
      </c>
    </row>
    <row r="42" spans="3:13" x14ac:dyDescent="0.3">
      <c r="F42" t="s">
        <v>21</v>
      </c>
      <c r="G42">
        <v>0.33100000000000002</v>
      </c>
      <c r="H42" t="s">
        <v>25</v>
      </c>
      <c r="K42">
        <v>55.4</v>
      </c>
      <c r="L42">
        <f t="shared" si="6"/>
        <v>3100</v>
      </c>
    </row>
  </sheetData>
  <pageMargins left="0.7" right="0.7" top="0.75" bottom="0.75" header="0.3" footer="0.3"/>
  <headerFooter>
    <oddFooter>&amp;R_x000D_&amp;1#&amp;"Arial"&amp;10&amp;K000000 Confidential C</oddFooter>
  </headerFooter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2026-01-24T14:40:55Z</dcterms:created>
  <dcterms:modified xsi:type="dcterms:W3CDTF">2026-01-25T08:34:53Z</dcterms:modified>
</cp:coreProperties>
</file>