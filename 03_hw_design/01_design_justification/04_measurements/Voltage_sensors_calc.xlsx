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37702\NotSynchronized\git\Design_of_1200W_LLC_DCDC\03_hw_design\01_design_justification\04_measurements\"/>
    </mc:Choice>
  </mc:AlternateContent>
  <xr:revisionPtr revIDLastSave="0" documentId="13_ncr:1_{E29A0E3B-C627-49A8-AE62-D5B0BFC9CB06}" xr6:coauthVersionLast="47" xr6:coauthVersionMax="47" xr10:uidLastSave="{00000000-0000-0000-0000-000000000000}"/>
  <bookViews>
    <workbookView xWindow="-108" yWindow="-108" windowWidth="23256" windowHeight="12456" xr2:uid="{0A9027C9-759C-43C7-A649-A6B2892A79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N7" i="1"/>
  <c r="J8" i="1"/>
  <c r="J7" i="1"/>
  <c r="E8" i="1"/>
  <c r="E2" i="1"/>
  <c r="J5" i="1"/>
  <c r="J4" i="1"/>
  <c r="E4" i="1"/>
  <c r="E3" i="1"/>
  <c r="E5" i="1"/>
  <c r="E7" i="1" s="1"/>
</calcChain>
</file>

<file path=xl/sharedStrings.xml><?xml version="1.0" encoding="utf-8"?>
<sst xmlns="http://schemas.openxmlformats.org/spreadsheetml/2006/main" count="31" uniqueCount="20">
  <si>
    <t>R1</t>
  </si>
  <si>
    <t>R2</t>
  </si>
  <si>
    <t>Rate = R2/Rtot</t>
  </si>
  <si>
    <t>Rtot R1+R2</t>
  </si>
  <si>
    <t>V1</t>
  </si>
  <si>
    <t>V2</t>
  </si>
  <si>
    <t xml:space="preserve"> FITST measu</t>
  </si>
  <si>
    <t>Primary</t>
  </si>
  <si>
    <t>Second</t>
  </si>
  <si>
    <t xml:space="preserve">MEAS </t>
  </si>
  <si>
    <t>V</t>
  </si>
  <si>
    <t>Vafter Amp</t>
  </si>
  <si>
    <t>v</t>
  </si>
  <si>
    <t xml:space="preserve">meas </t>
  </si>
  <si>
    <t>%</t>
  </si>
  <si>
    <t xml:space="preserve">error </t>
  </si>
  <si>
    <t>U_12_sec</t>
  </si>
  <si>
    <t>Vsec_3.3V</t>
  </si>
  <si>
    <t>V_amp_primary_3.3v</t>
  </si>
  <si>
    <t>Other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</si>
</sst>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C527-3A1B-46B9-8426-D6B22EB34AAD}">
  <dimension ref="B1:O13"/>
  <sheetViews>
    <sheetView tabSelected="1" workbookViewId="0">
      <selection activeCell="I17" sqref="I17"/>
    </sheetView>
  </sheetViews>
  <sheetFormatPr defaultRowHeight="14.4" x14ac:dyDescent="0.3"/>
  <cols>
    <col min="2" max="2" width="12.33203125" bestFit="1" customWidth="1"/>
    <col min="6" max="6" width="11.33203125" bestFit="1" customWidth="1"/>
    <col min="9" max="9" width="13.44140625" bestFit="1" customWidth="1"/>
  </cols>
  <sheetData>
    <row r="1" spans="2:15" x14ac:dyDescent="0.3">
      <c r="B1" t="s">
        <v>7</v>
      </c>
      <c r="I1" t="s">
        <v>8</v>
      </c>
    </row>
    <row r="2" spans="2:15" x14ac:dyDescent="0.3">
      <c r="B2" t="s">
        <v>0</v>
      </c>
      <c r="C2" s="1">
        <v>56000</v>
      </c>
      <c r="D2">
        <v>7</v>
      </c>
      <c r="E2">
        <f>+C2*D2</f>
        <v>392000</v>
      </c>
      <c r="I2" t="s">
        <v>0</v>
      </c>
      <c r="J2">
        <v>56</v>
      </c>
    </row>
    <row r="3" spans="2:15" x14ac:dyDescent="0.3">
      <c r="B3" t="s">
        <v>1</v>
      </c>
      <c r="C3" s="1">
        <v>1000</v>
      </c>
      <c r="D3">
        <v>1</v>
      </c>
      <c r="E3">
        <f>+C3*D3</f>
        <v>1000</v>
      </c>
      <c r="I3" t="s">
        <v>1</v>
      </c>
      <c r="J3">
        <v>1.5</v>
      </c>
    </row>
    <row r="4" spans="2:15" x14ac:dyDescent="0.3">
      <c r="B4" t="s">
        <v>3</v>
      </c>
      <c r="E4">
        <f>+E3+E2</f>
        <v>393000</v>
      </c>
      <c r="I4" t="s">
        <v>3</v>
      </c>
      <c r="J4">
        <f>+J3+J2</f>
        <v>57.5</v>
      </c>
    </row>
    <row r="5" spans="2:15" x14ac:dyDescent="0.3">
      <c r="B5" t="s">
        <v>2</v>
      </c>
      <c r="E5">
        <f>+E3/E4</f>
        <v>2.5445292620865142E-3</v>
      </c>
      <c r="I5" t="s">
        <v>2</v>
      </c>
      <c r="J5">
        <f>+J3/J4</f>
        <v>2.6086956521739129E-2</v>
      </c>
    </row>
    <row r="6" spans="2:15" x14ac:dyDescent="0.3">
      <c r="B6" t="s">
        <v>4</v>
      </c>
      <c r="E6">
        <v>317.39999999999998</v>
      </c>
      <c r="I6" t="s">
        <v>4</v>
      </c>
      <c r="J6">
        <v>48.12</v>
      </c>
    </row>
    <row r="7" spans="2:15" x14ac:dyDescent="0.3">
      <c r="B7" t="s">
        <v>5</v>
      </c>
      <c r="E7">
        <f>+E5*E6</f>
        <v>0.8076335877862596</v>
      </c>
      <c r="F7" t="s">
        <v>6</v>
      </c>
      <c r="G7">
        <v>0.81100000000000005</v>
      </c>
      <c r="I7" t="s">
        <v>5</v>
      </c>
      <c r="J7">
        <f>+J5*J6</f>
        <v>1.2553043478260868</v>
      </c>
      <c r="K7" t="s">
        <v>9</v>
      </c>
      <c r="L7">
        <v>1.2589999999999999</v>
      </c>
      <c r="M7" t="s">
        <v>10</v>
      </c>
      <c r="N7">
        <f>100*(L7-J7)/L7</f>
        <v>0.29353869530683879</v>
      </c>
      <c r="O7" t="s">
        <v>14</v>
      </c>
    </row>
    <row r="8" spans="2:15" x14ac:dyDescent="0.3">
      <c r="D8" t="s">
        <v>15</v>
      </c>
      <c r="E8">
        <f>100*(G7-E7)/E7</f>
        <v>0.41682419659735309</v>
      </c>
      <c r="F8" t="s">
        <v>14</v>
      </c>
      <c r="I8" t="s">
        <v>11</v>
      </c>
      <c r="J8">
        <f>1*J7</f>
        <v>1.2553043478260868</v>
      </c>
      <c r="K8" t="s">
        <v>13</v>
      </c>
      <c r="L8">
        <v>1.258</v>
      </c>
      <c r="M8" t="s">
        <v>12</v>
      </c>
      <c r="N8">
        <f>100*(L8-J8)/L8</f>
        <v>0.21428077694063671</v>
      </c>
      <c r="O8" t="s">
        <v>14</v>
      </c>
    </row>
    <row r="10" spans="2:15" x14ac:dyDescent="0.3">
      <c r="I10" t="s">
        <v>19</v>
      </c>
    </row>
    <row r="11" spans="2:15" x14ac:dyDescent="0.3">
      <c r="I11" t="s">
        <v>16</v>
      </c>
      <c r="J11">
        <v>12.04</v>
      </c>
      <c r="K11" t="s">
        <v>12</v>
      </c>
    </row>
    <row r="12" spans="2:15" x14ac:dyDescent="0.3">
      <c r="I12" t="s">
        <v>17</v>
      </c>
      <c r="J12">
        <v>3.3</v>
      </c>
      <c r="K12" t="s">
        <v>10</v>
      </c>
    </row>
    <row r="13" spans="2:15" x14ac:dyDescent="0.3">
      <c r="I13" t="s">
        <v>18</v>
      </c>
      <c r="J13">
        <v>3.3079999999999998</v>
      </c>
      <c r="K13" t="s">
        <v>12</v>
      </c>
    </row>
  </sheetData>
  <pageMargins left="0.7" right="0.7" top="0.75" bottom="0.75" header="0.3" footer="0.3"/>
  <headerFooter>
    <oddFooter>&amp;R_x000D_&amp;1#&amp;"Arial"&amp;10&amp;K000000 Confidential C</oddFooter>
  </headerFooter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BOUZIANI Abdelaziz (AMPERE)</dc:creator>
  <cp:lastModifiedBy>BOUZIANI Abdelaziz (AMPERE)</cp:lastModifiedBy>
  <dcterms:created xsi:type="dcterms:W3CDTF">2025-12-13T14:52:36Z</dcterms:created>
  <dcterms:modified xsi:type="dcterms:W3CDTF">2025-12-13T19:37:51Z</dcterms:modified>
</cp:coreProperties>
</file>