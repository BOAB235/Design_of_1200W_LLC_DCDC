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037702\NotSynchronized\git\Design_of_1200W_LLC_DCDC\03_hw_design\02_schematic_and_bom\01_Schematics_BOM\"/>
    </mc:Choice>
  </mc:AlternateContent>
  <xr:revisionPtr revIDLastSave="0" documentId="13_ncr:1_{5F4CA39D-6071-4308-AD14-6F856448DF80}" xr6:coauthVersionLast="47" xr6:coauthVersionMax="47" xr10:uidLastSave="{00000000-0000-0000-0000-000000000000}"/>
  <bookViews>
    <workbookView xWindow="-108" yWindow="-108" windowWidth="23256" windowHeight="12456" xr2:uid="{F43648E7-4B0D-4209-BCD9-A0E144039F4B}"/>
  </bookViews>
  <sheets>
    <sheet name="Sheet1" sheetId="1" r:id="rId1"/>
  </sheets>
  <definedNames>
    <definedName name="_xlnm._FilterDatabase" localSheetId="0" hidden="1">Sheet1!$B$1:$I$57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0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2" i="1"/>
</calcChain>
</file>

<file path=xl/sharedStrings.xml><?xml version="1.0" encoding="utf-8"?>
<sst xmlns="http://schemas.openxmlformats.org/spreadsheetml/2006/main" count="375" uniqueCount="193">
  <si>
    <t>Order Date:</t>
  </si>
  <si>
    <t>Mouser No:</t>
  </si>
  <si>
    <t>Mfr. No:</t>
  </si>
  <si>
    <t>Desc.:</t>
  </si>
  <si>
    <t>Customer No</t>
  </si>
  <si>
    <t>Order Qty.</t>
  </si>
  <si>
    <t>Price (EUR)</t>
  </si>
  <si>
    <t>05-Sep-25</t>
  </si>
  <si>
    <t/>
  </si>
  <si>
    <t>871-B66297KX197</t>
  </si>
  <si>
    <t>B66297K0000X197</t>
  </si>
  <si>
    <t>Ferrite Cores &amp; Accessories Ferrite Cores &amp; Accessories I102/7/37.5 N97 9600 + 25- 25%</t>
  </si>
  <si>
    <t>871-B66297GX197</t>
  </si>
  <si>
    <t>B66297G0000X197</t>
  </si>
  <si>
    <t>Ferrite Cores &amp; Accessories Ferrite Cores &amp; Accessories ELP102/20.3/37.5 N97 8500 + 25- 25%</t>
  </si>
  <si>
    <t>512-FDH055N15A</t>
  </si>
  <si>
    <t>FDH055N15A</t>
  </si>
  <si>
    <t>MOSFETs MOSFETs 150V N-Channel PowerTrench MOSFET</t>
  </si>
  <si>
    <t>871-B40910A8127M000</t>
  </si>
  <si>
    <t>B40910A8127M000</t>
  </si>
  <si>
    <t>Aluminium Electrolytic Capacitors - SMD Aluminium Electrolytic Capacitors - SMD 63VDC 120uF (M) d10x125 mm SMD HP</t>
  </si>
  <si>
    <t>871-B32672L8153J</t>
  </si>
  <si>
    <t>B32672L8153J</t>
  </si>
  <si>
    <t>Film Capacitors Film Capacitors Film Cap 15NF 5% 700VAC MKP BOXED</t>
  </si>
  <si>
    <t>726-IPW60R037CM8XKSA</t>
  </si>
  <si>
    <t>IPW60R037CM8XKSA1</t>
  </si>
  <si>
    <t>MOSFETs MOSFETs HIGH POWER_NEW</t>
  </si>
  <si>
    <t>26-Sep-25</t>
  </si>
  <si>
    <t>187-CL31A106KBHNNNE</t>
  </si>
  <si>
    <t>CL31A106KBHNNNE</t>
  </si>
  <si>
    <t>Multilayer Ceramic Capacitors MLCC - SMD/SMT Multilayer Ceramic Capacitors MLCC - SMD/SMT 10uF+/-10% 50V X5R 3 1206</t>
  </si>
  <si>
    <t>791-SH21B104K101CT</t>
  </si>
  <si>
    <t>SH21B104K101CT</t>
  </si>
  <si>
    <t>Multilayer Ceramic Capacitors MLCC - SMD/SMT Multilayer Ceramic Capacitors MLCC - SMD/SMT 100V 0.1 uF 10% X7R - 55 C + 125 C 0805 Flex Term</t>
  </si>
  <si>
    <t>871-B81123C1222M</t>
  </si>
  <si>
    <t>B81123C1222M</t>
  </si>
  <si>
    <t>Safety Capacitors Safety Capacitors 0.0022uF 500Vac 20% Class Y1</t>
  </si>
  <si>
    <t>81-GRM31CR71E106KA2K</t>
  </si>
  <si>
    <t>GRM31CR71E106KA12K</t>
  </si>
  <si>
    <t>Multilayer Ceramic Capacitors MLCC - SMD/SMT Multilayer Ceramic Capacitors MLCC - SMD/SMT 10 uF 25 VDC 10% 1206 X7R</t>
  </si>
  <si>
    <t>80-A768EB107M1ELAS36</t>
  </si>
  <si>
    <t>A768EB107M1ELAS036</t>
  </si>
  <si>
    <t>Aluminium Organic Polymer Capacitors Aluminium Organic Polymer Capacitors 25Vol 100uF SMD 2KHr ESR=36 mOhms AECQ200</t>
  </si>
  <si>
    <t>603-AC1206JKNPOZB103</t>
  </si>
  <si>
    <t>AC1206JKNPOZBN103</t>
  </si>
  <si>
    <t>Multilayer Ceramic Capacitors MLCC - SMD/SMT Multilayer Ceramic Capacitors MLCC - SMD/SMT 630V 10nF NPO 5% 1206 AEC-Q200</t>
  </si>
  <si>
    <t>80-C0805C102J5G</t>
  </si>
  <si>
    <t>C0805C102J5GACTU</t>
  </si>
  <si>
    <t>Multilayer Ceramic Capacitors MLCC - SMD/SMT Multilayer Ceramic Capacitors MLCC - SMD/SMT 50V 1000pF C0G 0805 5%</t>
  </si>
  <si>
    <t>80-R46KI310050M1K</t>
  </si>
  <si>
    <t>R46KI310050M1K</t>
  </si>
  <si>
    <t>Safety Capacitors Safety Capacitors 275vac 0.1uF 10%</t>
  </si>
  <si>
    <t>667-EEV-FK1V471Q</t>
  </si>
  <si>
    <t>EEV-FK1V471Q</t>
  </si>
  <si>
    <t>Aluminium Electrolytic Capacitors - SMD Aluminium Electrolytic Capacitors - SMD 470uF 35V</t>
  </si>
  <si>
    <t>710-875115350002</t>
  </si>
  <si>
    <t>875115350002</t>
  </si>
  <si>
    <t>Aluminium Organic Polymer Capacitors Aluminium Organic Polymer Capacitors WCAP-PSHP 16V 220uF 20% ESR=20mOhms</t>
  </si>
  <si>
    <t>504-EFDKS60K405D032L</t>
  </si>
  <si>
    <t>EFDKS60K405D032LH</t>
  </si>
  <si>
    <t>Film Capacitors Film Capacitors CAP FILM 4uF 10% 600VDC RAD</t>
  </si>
  <si>
    <t>673-PA2750NL</t>
  </si>
  <si>
    <t>PA2750NL</t>
  </si>
  <si>
    <t>Common Mode Chokes / Filters Common Mode Chokes / Filters 9.4mOhms 400uH 6A SMD Toroid Choke</t>
  </si>
  <si>
    <t>637-US1J</t>
  </si>
  <si>
    <t>US1J</t>
  </si>
  <si>
    <t>Rectifiers Rectifiers Ultrafast, SMA, 600V, 1A, 150C</t>
  </si>
  <si>
    <t>863-MBRS340T3G</t>
  </si>
  <si>
    <t>MBRS340T3G</t>
  </si>
  <si>
    <t>Schottky Diodes &amp; Rectifiers Schottky Diodes &amp; Rectifiers 3A 40V</t>
  </si>
  <si>
    <t>863-NCP43080DDR2G</t>
  </si>
  <si>
    <t>NCP43080DDR2G</t>
  </si>
  <si>
    <t>Switching Controllers Switching Controllers SECONDARY SIDE SYNCHRONOU</t>
  </si>
  <si>
    <t>998-LM2575-3.3WUTR</t>
  </si>
  <si>
    <t>LM2575-3.3WU-TR</t>
  </si>
  <si>
    <t>Switching Voltage Regulators Switching Voltage Regulators 1A Step-Down SMPS Regulator</t>
  </si>
  <si>
    <t>926-LM2575HVS12NOPB</t>
  </si>
  <si>
    <t>LM2575HVS-12/NOPB</t>
  </si>
  <si>
    <t>Switching Voltage Regulators Switching Voltage Regulators 1A SD Vtg Reg</t>
  </si>
  <si>
    <t>873-SI8932B-IS</t>
  </si>
  <si>
    <t>SI8932B-IS</t>
  </si>
  <si>
    <t xml:space="preserve">Isolation Amplifiers Isolation Amplifiers </t>
  </si>
  <si>
    <t>595-SN74HC74DRG4</t>
  </si>
  <si>
    <t>SN74HC74DRG4</t>
  </si>
  <si>
    <t>Flip-Flops Flip-Flops Dual Pos-Edge-Trig D -Type Flip-Flop ALT 595-SN74HC74DR</t>
  </si>
  <si>
    <t>595-TMCS1107A1UQDRQ1</t>
  </si>
  <si>
    <t>TMCS1107A1UQDRQ1</t>
  </si>
  <si>
    <t>Board Mount Current Sensors Board Mount Current Sensors AEC-Q100 +/-420-V i solated Hall-effect</t>
  </si>
  <si>
    <t>250-70331EOLCTR005U3</t>
  </si>
  <si>
    <t>ACS70331EOLCTR-005U3</t>
  </si>
  <si>
    <t>Board Mount Current Sensors Board Mount Current Sensors For New Designs Use ACS730 or ACS71240LLC</t>
  </si>
  <si>
    <t>595-ISO7741BDWR</t>
  </si>
  <si>
    <t>ISO7741BDWR</t>
  </si>
  <si>
    <t>Digital Isolators Digital Isolators Robust EMC quad-cha nnel 3/1 reinforce A 595-ISO7741BDW</t>
  </si>
  <si>
    <t>634-SI82390BD-IS</t>
  </si>
  <si>
    <t>SI82390BD-IS</t>
  </si>
  <si>
    <t>Galvanically Isolated Gate Drivers Galvanically Isolated Gate Drivers 5 kV 8 V UVLO dual isolated gate driver</t>
  </si>
  <si>
    <t>621-AZ1117CH2-33TRG1</t>
  </si>
  <si>
    <t>AZ1117CH2-3.3TRG1</t>
  </si>
  <si>
    <t>LDO Voltage Regulators LDO Voltage Regulators BJT Low Dropout Regulator SOT223 T&amp;R 4K</t>
  </si>
  <si>
    <t>542-PM5022-331M-RC</t>
  </si>
  <si>
    <t>PM5022-331M-RC</t>
  </si>
  <si>
    <t>Power Inductors - SMD Power Inductors - SMD 330uH 20%</t>
  </si>
  <si>
    <t>869-TNY280GN-TL</t>
  </si>
  <si>
    <t>TNY280GN-TL</t>
  </si>
  <si>
    <t>AC/DC Converters AC/DC Converters 28.5W 85-265 VAC 36.5W/230 VAC</t>
  </si>
  <si>
    <t>621-DPC817S-B-TR</t>
  </si>
  <si>
    <t>DPC817S-B-TR</t>
  </si>
  <si>
    <t>Transistor Output Optocouplers Transistor Output Optocouplers Photo Coupler SL-4 T&amp;R 2K</t>
  </si>
  <si>
    <t>726-BCP5616H6327X</t>
  </si>
  <si>
    <t>BCP5616H6327XTSA1</t>
  </si>
  <si>
    <t>Bipolar Transistors - BJT Bipolar Transistors - BJT AF TRANSISTORS</t>
  </si>
  <si>
    <t>755-KTR18EZPJ3R0</t>
  </si>
  <si>
    <t>KTR18EZPJ3R0</t>
  </si>
  <si>
    <t>Thick Film Resistors - SMD Thick Film Resistors - SMD 1206 3ohm 5% High VoltageAEC-Q200</t>
  </si>
  <si>
    <t>603-RC1206FR-0711K5L</t>
  </si>
  <si>
    <t>RC1206FR-0711K5L</t>
  </si>
  <si>
    <t>Thick Film Resistors - SMD Thick Film Resistors - SMD General Purpose Chip Resistor 1206, 11.5kOhms, 1%, 1/4W</t>
  </si>
  <si>
    <t>708-RNCE1206BTE10R0</t>
  </si>
  <si>
    <t>RNCE1206BTE10R0</t>
  </si>
  <si>
    <t>Thin Film Resistors - SMD Thin Film Resistors - SMD 10Ohms 1206 25ppm 1/4W 200V 0.1% Hi Temp/Stability</t>
  </si>
  <si>
    <t>571-9-2176070-5</t>
  </si>
  <si>
    <t>9-2176070-5</t>
  </si>
  <si>
    <t>Thick Film Resistors - SMD Thick Film Resistors - SMD 3521 82K 1% 2W</t>
  </si>
  <si>
    <t>603-RT1206BRD0756KL</t>
  </si>
  <si>
    <t>RT1206BRD0756KL</t>
  </si>
  <si>
    <t>Thin Film Resistors - SMD Thin Film Resistors - SMD 1/4W 56K ohm .1% 25p pm</t>
  </si>
  <si>
    <t>71-CRCW12060000Z0EAC</t>
  </si>
  <si>
    <t>CRCW12060000Z0EAC</t>
  </si>
  <si>
    <t>Thick Film Resistors - SMD Thick Film Resistors - SMD 1/4Watt 0ohms Commercial Use</t>
  </si>
  <si>
    <t>755-SFR10EZPF2200</t>
  </si>
  <si>
    <t>SFR10EZPF2200</t>
  </si>
  <si>
    <t>Thick Film Resistors - SMD Thick Film Resistors - SMD Sulfur Tolerant Chip Resistor, 2012mm, +/-1%, 150V, 0.125W, 220 ohm</t>
  </si>
  <si>
    <t>652-CR1206FX-1071ELF</t>
  </si>
  <si>
    <t>CR1206-FX-1071ELF</t>
  </si>
  <si>
    <t>Thick Film Resistors - SMD Thick Film Resistors - SMD 1.07K 1%</t>
  </si>
  <si>
    <t>71-M251206BB5108JP50</t>
  </si>
  <si>
    <t>M251206BB5108JP500</t>
  </si>
  <si>
    <t>Thin Film Resistors - SMD Thin Film Resistors - SMD 5.1   OHM   5% 100PPM   1/4W</t>
  </si>
  <si>
    <t>708-RNCE1206BTE1K00</t>
  </si>
  <si>
    <t>RNCE1206BTE1K00</t>
  </si>
  <si>
    <t>Thin Film Resistors - SMD Thin Film Resistors - SMD 1KOhms 1206 25ppm 1/4W 200V 0.1% Hi Temp/Stability</t>
  </si>
  <si>
    <t>667-ERA-8AEB152V</t>
  </si>
  <si>
    <t>ERA-8AEB152V</t>
  </si>
  <si>
    <t>Thin Film Resistors - SMD Thin Film Resistors - SMD 1206 1.5Kohm 0.1% 25ppm</t>
  </si>
  <si>
    <t>660-RN73R2BTD4991B25</t>
  </si>
  <si>
    <t>RN73R2BTTD4991B25</t>
  </si>
  <si>
    <t>Thin Film Resistors - SMD Thin Film Resistors - SMD 4990 ohm 0.1% 0.25W</t>
  </si>
  <si>
    <t>603-RC1206JR-071R1L</t>
  </si>
  <si>
    <t>RC1206JR-071R1L</t>
  </si>
  <si>
    <t>Thick Film Resistors - SMD Thick Film Resistors - SMD General Purpose Chip Resistor 1206, 1.1Ohms, 5%, 1/4W</t>
  </si>
  <si>
    <t>755-LTR100JZPJ270</t>
  </si>
  <si>
    <t>LTR100JZPJ270</t>
  </si>
  <si>
    <t>Current Sense Resistors - SMD Current Sense Resistors - SMD High-Power/Wide-Terminal/Anti-Surge Chip Resistor, 3264mm, 3W, 200V, +/-0.5%, 27 ohm</t>
  </si>
  <si>
    <t>756-LRMAP2512R007FT4</t>
  </si>
  <si>
    <t>LRMAP2512-R007FT4</t>
  </si>
  <si>
    <t>Current Sense Resistors - SMD Current Sense Resistors - SMD 3W 0.007 Ohm 1%</t>
  </si>
  <si>
    <t>588-TX08F103F3435ER</t>
  </si>
  <si>
    <t>TX08F103F3435ER</t>
  </si>
  <si>
    <t>NTC (Negative Temperature Coefficient) Thermistors NTC (Negative Temperature Coefficient) Thermistors THERMISTOR 0805 10K/3435</t>
  </si>
  <si>
    <t>595-TLV9024QDRQ1</t>
  </si>
  <si>
    <t>TLV9024QDRQ1</t>
  </si>
  <si>
    <t>Analog Comparators Analog Comparators Automotive 5.5-V l ow-voltage high-per</t>
  </si>
  <si>
    <t>621-BZT52C11-F</t>
  </si>
  <si>
    <t>BZT52C11-7-F</t>
  </si>
  <si>
    <t>Zener Diodes Zener Diodes 500mW 11V Zener</t>
  </si>
  <si>
    <t>871-B66461G0000X187</t>
  </si>
  <si>
    <t>B66461G0000X187</t>
  </si>
  <si>
    <t>Ferrite Cores &amp; Accessories Ferrite Cores &amp; Accessories ELP43/10/28 N87OL NO RECESS</t>
  </si>
  <si>
    <t>871-B66285G0000X187</t>
  </si>
  <si>
    <t>B66285G0000X187</t>
  </si>
  <si>
    <t>Ferrite Cores &amp; Accessories Ferrite Cores &amp; Accessories ELP22/6/16 N87OL</t>
  </si>
  <si>
    <t>871-B66285KX187</t>
  </si>
  <si>
    <t>B66285K0000X187</t>
  </si>
  <si>
    <t>Ferrite Cores &amp; Accessories Ferrite Cores &amp; Accessories I22/2.5/16 N87 5200 +25% -25%</t>
  </si>
  <si>
    <t xml:space="preserve">Market </t>
  </si>
  <si>
    <t xml:space="preserve">Mouser </t>
  </si>
  <si>
    <t>Sub Total (Euro)</t>
  </si>
  <si>
    <t>Aliexpress</t>
  </si>
  <si>
    <t>3296W-1-203RLF</t>
  </si>
  <si>
    <t>Trimmer Resistors - Through Hole 3/8" 20Kohms Sealed Vertical Adjust 25 turns 10% 2.54mm</t>
  </si>
  <si>
    <t>NA</t>
  </si>
  <si>
    <t>LM4040AIM3-2.0</t>
  </si>
  <si>
    <t>Voltage References PREC MICROPWR SHUNT VLTG REF SOT23 2.048V ±2mV  and ±15mV</t>
  </si>
  <si>
    <t>heatsink 300*140*20mm / 11.81*5.51*0.78" Weight 570g, 19 fins  Material: Aluminum</t>
  </si>
  <si>
    <t xml:space="preserve">2.54mm Double Row Female 10P Breakaway PCB Board Pin Header Socket Connector Pinheader </t>
  </si>
  <si>
    <t>Hex Brass Male Female Motherboard Standoff Mount M2.5 Thread 6mm Board Rack Stud Threaded Pillar PCB Column Spacer Screw</t>
  </si>
  <si>
    <t>Hexagon Hex Nuts  M2.5  Hex Nut 304 Stainless Steel DIN934 Metric</t>
  </si>
  <si>
    <t>JD102MY5VY1</t>
  </si>
  <si>
    <t>400VAC 102M 1NF</t>
  </si>
  <si>
    <t>JLCPCB</t>
  </si>
  <si>
    <t>PCB FR-4 1.6mm 4 layers inner 35um (1oz) outer 70um (2oz), 140mmx300mm</t>
  </si>
  <si>
    <t>M2.5 long gb818 a2 304 stainless steel cross round phillips pan head screw bolt length=12mm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</si>
</sst>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0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8" fontId="0" fillId="0" borderId="0" xfId="0" applyNumberFormat="1"/>
    <xf numFmtId="0" fontId="0" fillId="0" borderId="1" xfId="0" applyBorder="1"/>
    <xf numFmtId="0" fontId="1" fillId="0" borderId="1" xfId="1" applyBorder="1"/>
    <xf numFmtId="49" fontId="1" fillId="0" borderId="1" xfId="1" applyNumberFormat="1" applyBorder="1"/>
    <xf numFmtId="8" fontId="0" fillId="0" borderId="1" xfId="0" applyNumberFormat="1" applyBorder="1"/>
    <xf numFmtId="0" fontId="2" fillId="0" borderId="1" xfId="0" applyFont="1" applyBorder="1"/>
    <xf numFmtId="14" fontId="0" fillId="0" borderId="1" xfId="0" applyNumberFormat="1" applyBorder="1"/>
    <xf numFmtId="0" fontId="0" fillId="0" borderId="1" xfId="1" applyFont="1" applyBorder="1"/>
  </cellXfs>
  <cellStyles count="2">
    <cellStyle name="Normal" xfId="0" builtinId="0"/>
    <cellStyle name="Normal 2" xfId="1" xr:uid="{05742960-F409-44DB-A5C8-8897F03305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2EFA6-C542-4F43-8E4D-651DE45CEEAE}">
  <sheetPr>
    <pageSetUpPr fitToPage="1"/>
  </sheetPr>
  <dimension ref="A1:I66"/>
  <sheetViews>
    <sheetView tabSelected="1" topLeftCell="E53" workbookViewId="0">
      <selection activeCell="I66" sqref="A1:I66"/>
    </sheetView>
  </sheetViews>
  <sheetFormatPr defaultRowHeight="14.4" x14ac:dyDescent="0.3"/>
  <cols>
    <col min="2" max="2" width="22.88671875" bestFit="1" customWidth="1"/>
    <col min="3" max="3" width="23.5546875" bestFit="1" customWidth="1"/>
    <col min="4" max="4" width="125.44140625" bestFit="1" customWidth="1"/>
    <col min="5" max="5" width="11.5546875" bestFit="1" customWidth="1"/>
    <col min="6" max="6" width="9.21875" bestFit="1" customWidth="1"/>
    <col min="7" max="7" width="10" style="1" bestFit="1" customWidth="1"/>
    <col min="8" max="8" width="10" style="1" customWidth="1"/>
    <col min="9" max="9" width="10.33203125" bestFit="1" customWidth="1"/>
  </cols>
  <sheetData>
    <row r="1" spans="1:9" x14ac:dyDescent="0.3">
      <c r="A1" s="2" t="s">
        <v>175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5" t="s">
        <v>6</v>
      </c>
      <c r="H1" s="5" t="s">
        <v>177</v>
      </c>
      <c r="I1" s="3" t="s">
        <v>0</v>
      </c>
    </row>
    <row r="2" spans="1:9" x14ac:dyDescent="0.3">
      <c r="A2" s="2" t="s">
        <v>176</v>
      </c>
      <c r="B2" s="3" t="s">
        <v>9</v>
      </c>
      <c r="C2" s="3" t="s">
        <v>10</v>
      </c>
      <c r="D2" s="3" t="s">
        <v>11</v>
      </c>
      <c r="E2" s="4" t="s">
        <v>8</v>
      </c>
      <c r="F2" s="3">
        <v>1</v>
      </c>
      <c r="G2" s="5">
        <v>11.21</v>
      </c>
      <c r="H2" s="5">
        <f t="shared" ref="H2:H33" si="0">+G2*F2</f>
        <v>11.21</v>
      </c>
      <c r="I2" s="3" t="s">
        <v>7</v>
      </c>
    </row>
    <row r="3" spans="1:9" x14ac:dyDescent="0.3">
      <c r="A3" s="2" t="s">
        <v>176</v>
      </c>
      <c r="B3" s="3" t="s">
        <v>12</v>
      </c>
      <c r="C3" s="3" t="s">
        <v>13</v>
      </c>
      <c r="D3" s="3" t="s">
        <v>14</v>
      </c>
      <c r="E3" s="4" t="s">
        <v>8</v>
      </c>
      <c r="F3" s="3">
        <v>1</v>
      </c>
      <c r="G3" s="5">
        <v>12.22</v>
      </c>
      <c r="H3" s="5">
        <f t="shared" si="0"/>
        <v>12.22</v>
      </c>
      <c r="I3" s="3" t="s">
        <v>7</v>
      </c>
    </row>
    <row r="4" spans="1:9" x14ac:dyDescent="0.3">
      <c r="A4" s="2" t="s">
        <v>176</v>
      </c>
      <c r="B4" s="3" t="s">
        <v>15</v>
      </c>
      <c r="C4" s="3" t="s">
        <v>16</v>
      </c>
      <c r="D4" s="3" t="s">
        <v>17</v>
      </c>
      <c r="E4" s="4" t="s">
        <v>8</v>
      </c>
      <c r="F4" s="3">
        <v>2</v>
      </c>
      <c r="G4" s="5">
        <v>5.65</v>
      </c>
      <c r="H4" s="5">
        <f t="shared" si="0"/>
        <v>11.3</v>
      </c>
      <c r="I4" s="3" t="s">
        <v>7</v>
      </c>
    </row>
    <row r="5" spans="1:9" x14ac:dyDescent="0.3">
      <c r="A5" s="2" t="s">
        <v>176</v>
      </c>
      <c r="B5" s="3" t="s">
        <v>18</v>
      </c>
      <c r="C5" s="3" t="s">
        <v>19</v>
      </c>
      <c r="D5" s="3" t="s">
        <v>20</v>
      </c>
      <c r="E5" s="4" t="s">
        <v>8</v>
      </c>
      <c r="F5" s="3">
        <v>6</v>
      </c>
      <c r="G5" s="5">
        <v>2.29</v>
      </c>
      <c r="H5" s="5">
        <f t="shared" si="0"/>
        <v>13.74</v>
      </c>
      <c r="I5" s="3" t="s">
        <v>7</v>
      </c>
    </row>
    <row r="6" spans="1:9" x14ac:dyDescent="0.3">
      <c r="A6" s="2" t="s">
        <v>176</v>
      </c>
      <c r="B6" s="3" t="s">
        <v>21</v>
      </c>
      <c r="C6" s="3" t="s">
        <v>22</v>
      </c>
      <c r="D6" s="3" t="s">
        <v>23</v>
      </c>
      <c r="E6" s="4" t="s">
        <v>8</v>
      </c>
      <c r="F6" s="3">
        <v>10</v>
      </c>
      <c r="G6" s="5">
        <v>0.34499999999999997</v>
      </c>
      <c r="H6" s="5">
        <f t="shared" si="0"/>
        <v>3.4499999999999997</v>
      </c>
      <c r="I6" s="3" t="s">
        <v>7</v>
      </c>
    </row>
    <row r="7" spans="1:9" x14ac:dyDescent="0.3">
      <c r="A7" s="2" t="s">
        <v>176</v>
      </c>
      <c r="B7" s="3" t="s">
        <v>24</v>
      </c>
      <c r="C7" s="3" t="s">
        <v>25</v>
      </c>
      <c r="D7" s="3" t="s">
        <v>26</v>
      </c>
      <c r="E7" s="4" t="s">
        <v>8</v>
      </c>
      <c r="F7" s="3">
        <v>2</v>
      </c>
      <c r="G7" s="5">
        <v>6.11</v>
      </c>
      <c r="H7" s="5">
        <f t="shared" si="0"/>
        <v>12.22</v>
      </c>
      <c r="I7" s="3" t="s">
        <v>7</v>
      </c>
    </row>
    <row r="8" spans="1:9" x14ac:dyDescent="0.3">
      <c r="A8" s="2" t="s">
        <v>176</v>
      </c>
      <c r="B8" s="3" t="s">
        <v>28</v>
      </c>
      <c r="C8" s="3" t="s">
        <v>29</v>
      </c>
      <c r="D8" s="3" t="s">
        <v>30</v>
      </c>
      <c r="E8" s="4" t="s">
        <v>8</v>
      </c>
      <c r="F8" s="3">
        <v>2</v>
      </c>
      <c r="G8" s="5">
        <v>9.5000000000000001E-2</v>
      </c>
      <c r="H8" s="5">
        <f t="shared" si="0"/>
        <v>0.19</v>
      </c>
      <c r="I8" s="3" t="s">
        <v>27</v>
      </c>
    </row>
    <row r="9" spans="1:9" x14ac:dyDescent="0.3">
      <c r="A9" s="2" t="s">
        <v>176</v>
      </c>
      <c r="B9" s="3" t="s">
        <v>31</v>
      </c>
      <c r="C9" s="3" t="s">
        <v>32</v>
      </c>
      <c r="D9" s="3" t="s">
        <v>33</v>
      </c>
      <c r="E9" s="4" t="s">
        <v>8</v>
      </c>
      <c r="F9" s="3">
        <v>22</v>
      </c>
      <c r="G9" s="5">
        <v>3.6999999999999998E-2</v>
      </c>
      <c r="H9" s="5">
        <f t="shared" si="0"/>
        <v>0.81399999999999995</v>
      </c>
      <c r="I9" s="3" t="s">
        <v>27</v>
      </c>
    </row>
    <row r="10" spans="1:9" x14ac:dyDescent="0.3">
      <c r="A10" s="2" t="s">
        <v>176</v>
      </c>
      <c r="B10" s="3" t="s">
        <v>34</v>
      </c>
      <c r="C10" s="3" t="s">
        <v>35</v>
      </c>
      <c r="D10" s="3" t="s">
        <v>36</v>
      </c>
      <c r="E10" s="4" t="s">
        <v>8</v>
      </c>
      <c r="F10" s="3">
        <v>5</v>
      </c>
      <c r="G10" s="5">
        <v>0.61099999999999999</v>
      </c>
      <c r="H10" s="5">
        <f t="shared" si="0"/>
        <v>3.0549999999999997</v>
      </c>
      <c r="I10" s="3" t="s">
        <v>27</v>
      </c>
    </row>
    <row r="11" spans="1:9" x14ac:dyDescent="0.3">
      <c r="A11" s="2" t="s">
        <v>176</v>
      </c>
      <c r="B11" s="3" t="s">
        <v>37</v>
      </c>
      <c r="C11" s="3" t="s">
        <v>38</v>
      </c>
      <c r="D11" s="3" t="s">
        <v>39</v>
      </c>
      <c r="E11" s="4" t="s">
        <v>8</v>
      </c>
      <c r="F11" s="3">
        <v>18</v>
      </c>
      <c r="G11" s="5">
        <v>0.115</v>
      </c>
      <c r="H11" s="5">
        <f t="shared" si="0"/>
        <v>2.0700000000000003</v>
      </c>
      <c r="I11" s="3" t="s">
        <v>27</v>
      </c>
    </row>
    <row r="12" spans="1:9" x14ac:dyDescent="0.3">
      <c r="A12" s="2" t="s">
        <v>176</v>
      </c>
      <c r="B12" s="3" t="s">
        <v>40</v>
      </c>
      <c r="C12" s="3" t="s">
        <v>41</v>
      </c>
      <c r="D12" s="3" t="s">
        <v>42</v>
      </c>
      <c r="E12" s="4" t="s">
        <v>8</v>
      </c>
      <c r="F12" s="3">
        <v>1</v>
      </c>
      <c r="G12" s="5">
        <v>0.45600000000000002</v>
      </c>
      <c r="H12" s="5">
        <f t="shared" si="0"/>
        <v>0.45600000000000002</v>
      </c>
      <c r="I12" s="3" t="s">
        <v>27</v>
      </c>
    </row>
    <row r="13" spans="1:9" x14ac:dyDescent="0.3">
      <c r="A13" s="2" t="s">
        <v>176</v>
      </c>
      <c r="B13" s="3" t="s">
        <v>43</v>
      </c>
      <c r="C13" s="3" t="s">
        <v>44</v>
      </c>
      <c r="D13" s="3" t="s">
        <v>45</v>
      </c>
      <c r="E13" s="4" t="s">
        <v>8</v>
      </c>
      <c r="F13" s="3">
        <v>1</v>
      </c>
      <c r="G13" s="5">
        <v>0.50700000000000001</v>
      </c>
      <c r="H13" s="5">
        <f t="shared" si="0"/>
        <v>0.50700000000000001</v>
      </c>
      <c r="I13" s="3" t="s">
        <v>27</v>
      </c>
    </row>
    <row r="14" spans="1:9" x14ac:dyDescent="0.3">
      <c r="A14" s="2" t="s">
        <v>176</v>
      </c>
      <c r="B14" s="3" t="s">
        <v>46</v>
      </c>
      <c r="C14" s="3" t="s">
        <v>47</v>
      </c>
      <c r="D14" s="3" t="s">
        <v>48</v>
      </c>
      <c r="E14" s="4" t="s">
        <v>8</v>
      </c>
      <c r="F14" s="3">
        <v>25</v>
      </c>
      <c r="G14" s="5">
        <v>6.3E-2</v>
      </c>
      <c r="H14" s="5">
        <f t="shared" si="0"/>
        <v>1.575</v>
      </c>
      <c r="I14" s="3" t="s">
        <v>27</v>
      </c>
    </row>
    <row r="15" spans="1:9" x14ac:dyDescent="0.3">
      <c r="A15" s="2" t="s">
        <v>176</v>
      </c>
      <c r="B15" s="3" t="s">
        <v>49</v>
      </c>
      <c r="C15" s="3" t="s">
        <v>50</v>
      </c>
      <c r="D15" s="3" t="s">
        <v>51</v>
      </c>
      <c r="E15" s="4" t="s">
        <v>8</v>
      </c>
      <c r="F15" s="3">
        <v>2</v>
      </c>
      <c r="G15" s="5">
        <v>0.30099999999999999</v>
      </c>
      <c r="H15" s="5">
        <f t="shared" si="0"/>
        <v>0.60199999999999998</v>
      </c>
      <c r="I15" s="3" t="s">
        <v>27</v>
      </c>
    </row>
    <row r="16" spans="1:9" x14ac:dyDescent="0.3">
      <c r="A16" s="2" t="s">
        <v>176</v>
      </c>
      <c r="B16" s="3" t="s">
        <v>52</v>
      </c>
      <c r="C16" s="3" t="s">
        <v>53</v>
      </c>
      <c r="D16" s="3" t="s">
        <v>54</v>
      </c>
      <c r="E16" s="4" t="s">
        <v>8</v>
      </c>
      <c r="F16" s="3">
        <v>3</v>
      </c>
      <c r="G16" s="5">
        <v>1.27</v>
      </c>
      <c r="H16" s="5">
        <f t="shared" si="0"/>
        <v>3.81</v>
      </c>
      <c r="I16" s="3" t="s">
        <v>27</v>
      </c>
    </row>
    <row r="17" spans="1:9" x14ac:dyDescent="0.3">
      <c r="A17" s="2" t="s">
        <v>176</v>
      </c>
      <c r="B17" s="3" t="s">
        <v>55</v>
      </c>
      <c r="C17" s="3" t="s">
        <v>56</v>
      </c>
      <c r="D17" s="3" t="s">
        <v>57</v>
      </c>
      <c r="E17" s="4" t="s">
        <v>8</v>
      </c>
      <c r="F17" s="3">
        <v>1</v>
      </c>
      <c r="G17" s="5">
        <v>1.22</v>
      </c>
      <c r="H17" s="5">
        <f t="shared" si="0"/>
        <v>1.22</v>
      </c>
      <c r="I17" s="3" t="s">
        <v>27</v>
      </c>
    </row>
    <row r="18" spans="1:9" x14ac:dyDescent="0.3">
      <c r="A18" s="2" t="s">
        <v>176</v>
      </c>
      <c r="B18" s="3" t="s">
        <v>58</v>
      </c>
      <c r="C18" s="3" t="s">
        <v>59</v>
      </c>
      <c r="D18" s="3" t="s">
        <v>60</v>
      </c>
      <c r="E18" s="4" t="s">
        <v>8</v>
      </c>
      <c r="F18" s="3">
        <v>1</v>
      </c>
      <c r="G18" s="5">
        <v>1.61</v>
      </c>
      <c r="H18" s="5">
        <f t="shared" si="0"/>
        <v>1.61</v>
      </c>
      <c r="I18" s="3" t="s">
        <v>27</v>
      </c>
    </row>
    <row r="19" spans="1:9" x14ac:dyDescent="0.3">
      <c r="A19" s="2" t="s">
        <v>176</v>
      </c>
      <c r="B19" s="3" t="s">
        <v>18</v>
      </c>
      <c r="C19" s="3" t="s">
        <v>19</v>
      </c>
      <c r="D19" s="3" t="s">
        <v>20</v>
      </c>
      <c r="E19" s="4" t="s">
        <v>8</v>
      </c>
      <c r="F19" s="3">
        <v>1</v>
      </c>
      <c r="G19" s="5">
        <v>2.29</v>
      </c>
      <c r="H19" s="5">
        <f t="shared" si="0"/>
        <v>2.29</v>
      </c>
      <c r="I19" s="3" t="s">
        <v>27</v>
      </c>
    </row>
    <row r="20" spans="1:9" x14ac:dyDescent="0.3">
      <c r="A20" s="2" t="s">
        <v>176</v>
      </c>
      <c r="B20" s="3" t="s">
        <v>61</v>
      </c>
      <c r="C20" s="3" t="s">
        <v>62</v>
      </c>
      <c r="D20" s="3" t="s">
        <v>63</v>
      </c>
      <c r="E20" s="4" t="s">
        <v>8</v>
      </c>
      <c r="F20" s="3">
        <v>1</v>
      </c>
      <c r="G20" s="5">
        <v>1.87</v>
      </c>
      <c r="H20" s="5">
        <f t="shared" si="0"/>
        <v>1.87</v>
      </c>
      <c r="I20" s="3" t="s">
        <v>27</v>
      </c>
    </row>
    <row r="21" spans="1:9" x14ac:dyDescent="0.3">
      <c r="A21" s="2" t="s">
        <v>176</v>
      </c>
      <c r="B21" s="3" t="s">
        <v>64</v>
      </c>
      <c r="C21" s="3" t="s">
        <v>65</v>
      </c>
      <c r="D21" s="3" t="s">
        <v>66</v>
      </c>
      <c r="E21" s="4" t="s">
        <v>8</v>
      </c>
      <c r="F21" s="3">
        <v>1</v>
      </c>
      <c r="G21" s="5">
        <v>0.249</v>
      </c>
      <c r="H21" s="5">
        <f t="shared" si="0"/>
        <v>0.249</v>
      </c>
      <c r="I21" s="3" t="s">
        <v>27</v>
      </c>
    </row>
    <row r="22" spans="1:9" x14ac:dyDescent="0.3">
      <c r="A22" s="2" t="s">
        <v>176</v>
      </c>
      <c r="B22" s="3" t="s">
        <v>67</v>
      </c>
      <c r="C22" s="3" t="s">
        <v>68</v>
      </c>
      <c r="D22" s="3" t="s">
        <v>69</v>
      </c>
      <c r="E22" s="4" t="s">
        <v>8</v>
      </c>
      <c r="F22" s="3">
        <v>5</v>
      </c>
      <c r="G22" s="5">
        <v>0.64500000000000002</v>
      </c>
      <c r="H22" s="5">
        <f t="shared" si="0"/>
        <v>3.2250000000000001</v>
      </c>
      <c r="I22" s="3" t="s">
        <v>27</v>
      </c>
    </row>
    <row r="23" spans="1:9" x14ac:dyDescent="0.3">
      <c r="A23" s="2" t="s">
        <v>176</v>
      </c>
      <c r="B23" s="3" t="s">
        <v>70</v>
      </c>
      <c r="C23" s="3" t="s">
        <v>71</v>
      </c>
      <c r="D23" s="3" t="s">
        <v>72</v>
      </c>
      <c r="E23" s="4" t="s">
        <v>8</v>
      </c>
      <c r="F23" s="3">
        <v>2</v>
      </c>
      <c r="G23" s="5">
        <v>0.47299999999999998</v>
      </c>
      <c r="H23" s="5">
        <f t="shared" si="0"/>
        <v>0.94599999999999995</v>
      </c>
      <c r="I23" s="3" t="s">
        <v>27</v>
      </c>
    </row>
    <row r="24" spans="1:9" x14ac:dyDescent="0.3">
      <c r="A24" s="2" t="s">
        <v>176</v>
      </c>
      <c r="B24" s="3" t="s">
        <v>73</v>
      </c>
      <c r="C24" s="3" t="s">
        <v>74</v>
      </c>
      <c r="D24" s="3" t="s">
        <v>75</v>
      </c>
      <c r="E24" s="4" t="s">
        <v>8</v>
      </c>
      <c r="F24" s="3">
        <v>1</v>
      </c>
      <c r="G24" s="5">
        <v>1.51</v>
      </c>
      <c r="H24" s="5">
        <f t="shared" si="0"/>
        <v>1.51</v>
      </c>
      <c r="I24" s="3" t="s">
        <v>27</v>
      </c>
    </row>
    <row r="25" spans="1:9" x14ac:dyDescent="0.3">
      <c r="A25" s="2" t="s">
        <v>176</v>
      </c>
      <c r="B25" s="3" t="s">
        <v>76</v>
      </c>
      <c r="C25" s="3" t="s">
        <v>77</v>
      </c>
      <c r="D25" s="3" t="s">
        <v>78</v>
      </c>
      <c r="E25" s="4" t="s">
        <v>8</v>
      </c>
      <c r="F25" s="3">
        <v>1</v>
      </c>
      <c r="G25" s="5">
        <v>4.16</v>
      </c>
      <c r="H25" s="5">
        <f t="shared" si="0"/>
        <v>4.16</v>
      </c>
      <c r="I25" s="3" t="s">
        <v>27</v>
      </c>
    </row>
    <row r="26" spans="1:9" x14ac:dyDescent="0.3">
      <c r="A26" s="2" t="s">
        <v>176</v>
      </c>
      <c r="B26" s="3" t="s">
        <v>79</v>
      </c>
      <c r="C26" s="3" t="s">
        <v>80</v>
      </c>
      <c r="D26" s="3" t="s">
        <v>81</v>
      </c>
      <c r="E26" s="4" t="s">
        <v>8</v>
      </c>
      <c r="F26" s="3">
        <v>1</v>
      </c>
      <c r="G26" s="5">
        <v>5.17</v>
      </c>
      <c r="H26" s="5">
        <f t="shared" si="0"/>
        <v>5.17</v>
      </c>
      <c r="I26" s="3" t="s">
        <v>27</v>
      </c>
    </row>
    <row r="27" spans="1:9" x14ac:dyDescent="0.3">
      <c r="A27" s="2" t="s">
        <v>176</v>
      </c>
      <c r="B27" s="3" t="s">
        <v>82</v>
      </c>
      <c r="C27" s="3" t="s">
        <v>83</v>
      </c>
      <c r="D27" s="3" t="s">
        <v>84</v>
      </c>
      <c r="E27" s="4" t="s">
        <v>8</v>
      </c>
      <c r="F27" s="3">
        <v>1</v>
      </c>
      <c r="G27" s="5">
        <v>0.48199999999999998</v>
      </c>
      <c r="H27" s="5">
        <f t="shared" si="0"/>
        <v>0.48199999999999998</v>
      </c>
      <c r="I27" s="3" t="s">
        <v>27</v>
      </c>
    </row>
    <row r="28" spans="1:9" x14ac:dyDescent="0.3">
      <c r="A28" s="2" t="s">
        <v>176</v>
      </c>
      <c r="B28" s="3" t="s">
        <v>85</v>
      </c>
      <c r="C28" s="3" t="s">
        <v>86</v>
      </c>
      <c r="D28" s="3" t="s">
        <v>87</v>
      </c>
      <c r="E28" s="4" t="s">
        <v>8</v>
      </c>
      <c r="F28" s="3">
        <v>1</v>
      </c>
      <c r="G28" s="5">
        <v>3.41</v>
      </c>
      <c r="H28" s="5">
        <f t="shared" si="0"/>
        <v>3.41</v>
      </c>
      <c r="I28" s="3" t="s">
        <v>27</v>
      </c>
    </row>
    <row r="29" spans="1:9" x14ac:dyDescent="0.3">
      <c r="A29" s="2" t="s">
        <v>176</v>
      </c>
      <c r="B29" s="3" t="s">
        <v>88</v>
      </c>
      <c r="C29" s="3" t="s">
        <v>89</v>
      </c>
      <c r="D29" s="3" t="s">
        <v>90</v>
      </c>
      <c r="E29" s="4" t="s">
        <v>8</v>
      </c>
      <c r="F29" s="3">
        <v>1</v>
      </c>
      <c r="G29" s="5">
        <v>1.91</v>
      </c>
      <c r="H29" s="5">
        <f t="shared" si="0"/>
        <v>1.91</v>
      </c>
      <c r="I29" s="3" t="s">
        <v>27</v>
      </c>
    </row>
    <row r="30" spans="1:9" x14ac:dyDescent="0.3">
      <c r="A30" s="2" t="s">
        <v>176</v>
      </c>
      <c r="B30" s="3" t="s">
        <v>91</v>
      </c>
      <c r="C30" s="3" t="s">
        <v>92</v>
      </c>
      <c r="D30" s="3" t="s">
        <v>93</v>
      </c>
      <c r="E30" s="4" t="s">
        <v>8</v>
      </c>
      <c r="F30" s="3">
        <v>1</v>
      </c>
      <c r="G30" s="5">
        <v>2.35</v>
      </c>
      <c r="H30" s="5">
        <f t="shared" si="0"/>
        <v>2.35</v>
      </c>
      <c r="I30" s="3" t="s">
        <v>27</v>
      </c>
    </row>
    <row r="31" spans="1:9" x14ac:dyDescent="0.3">
      <c r="A31" s="2" t="s">
        <v>176</v>
      </c>
      <c r="B31" s="3" t="s">
        <v>94</v>
      </c>
      <c r="C31" s="3" t="s">
        <v>95</v>
      </c>
      <c r="D31" s="3" t="s">
        <v>96</v>
      </c>
      <c r="E31" s="4" t="s">
        <v>8</v>
      </c>
      <c r="F31" s="3">
        <v>1</v>
      </c>
      <c r="G31" s="5">
        <v>5.07</v>
      </c>
      <c r="H31" s="5">
        <f t="shared" si="0"/>
        <v>5.07</v>
      </c>
      <c r="I31" s="3" t="s">
        <v>27</v>
      </c>
    </row>
    <row r="32" spans="1:9" x14ac:dyDescent="0.3">
      <c r="A32" s="2" t="s">
        <v>176</v>
      </c>
      <c r="B32" s="3" t="s">
        <v>97</v>
      </c>
      <c r="C32" s="3" t="s">
        <v>98</v>
      </c>
      <c r="D32" s="3" t="s">
        <v>99</v>
      </c>
      <c r="E32" s="4" t="s">
        <v>8</v>
      </c>
      <c r="F32" s="3">
        <v>1</v>
      </c>
      <c r="G32" s="5">
        <v>0.189</v>
      </c>
      <c r="H32" s="5">
        <f t="shared" si="0"/>
        <v>0.189</v>
      </c>
      <c r="I32" s="3" t="s">
        <v>27</v>
      </c>
    </row>
    <row r="33" spans="1:9" x14ac:dyDescent="0.3">
      <c r="A33" s="2" t="s">
        <v>176</v>
      </c>
      <c r="B33" s="3" t="s">
        <v>100</v>
      </c>
      <c r="C33" s="3" t="s">
        <v>101</v>
      </c>
      <c r="D33" s="3" t="s">
        <v>102</v>
      </c>
      <c r="E33" s="4" t="s">
        <v>8</v>
      </c>
      <c r="F33" s="3">
        <v>2</v>
      </c>
      <c r="G33" s="5">
        <v>0.58499999999999996</v>
      </c>
      <c r="H33" s="5">
        <f t="shared" si="0"/>
        <v>1.17</v>
      </c>
      <c r="I33" s="3" t="s">
        <v>27</v>
      </c>
    </row>
    <row r="34" spans="1:9" x14ac:dyDescent="0.3">
      <c r="A34" s="2" t="s">
        <v>176</v>
      </c>
      <c r="B34" s="3" t="s">
        <v>103</v>
      </c>
      <c r="C34" s="3" t="s">
        <v>104</v>
      </c>
      <c r="D34" s="3" t="s">
        <v>105</v>
      </c>
      <c r="E34" s="4" t="s">
        <v>8</v>
      </c>
      <c r="F34" s="3">
        <v>1</v>
      </c>
      <c r="G34" s="5">
        <v>1.46</v>
      </c>
      <c r="H34" s="5">
        <f t="shared" ref="H34:H57" si="1">+G34*F34</f>
        <v>1.46</v>
      </c>
      <c r="I34" s="3" t="s">
        <v>27</v>
      </c>
    </row>
    <row r="35" spans="1:9" x14ac:dyDescent="0.3">
      <c r="A35" s="2" t="s">
        <v>176</v>
      </c>
      <c r="B35" s="3" t="s">
        <v>106</v>
      </c>
      <c r="C35" s="3" t="s">
        <v>107</v>
      </c>
      <c r="D35" s="3" t="s">
        <v>108</v>
      </c>
      <c r="E35" s="4" t="s">
        <v>8</v>
      </c>
      <c r="F35" s="3">
        <v>1</v>
      </c>
      <c r="G35" s="5">
        <v>0.31</v>
      </c>
      <c r="H35" s="5">
        <f t="shared" si="1"/>
        <v>0.31</v>
      </c>
      <c r="I35" s="3" t="s">
        <v>27</v>
      </c>
    </row>
    <row r="36" spans="1:9" x14ac:dyDescent="0.3">
      <c r="A36" s="2" t="s">
        <v>176</v>
      </c>
      <c r="B36" s="3" t="s">
        <v>109</v>
      </c>
      <c r="C36" s="3" t="s">
        <v>110</v>
      </c>
      <c r="D36" s="3" t="s">
        <v>111</v>
      </c>
      <c r="E36" s="4" t="s">
        <v>8</v>
      </c>
      <c r="F36" s="3">
        <v>1</v>
      </c>
      <c r="G36" s="5">
        <v>0.64500000000000002</v>
      </c>
      <c r="H36" s="5">
        <f t="shared" si="1"/>
        <v>0.64500000000000002</v>
      </c>
      <c r="I36" s="3" t="s">
        <v>27</v>
      </c>
    </row>
    <row r="37" spans="1:9" x14ac:dyDescent="0.3">
      <c r="A37" s="2" t="s">
        <v>176</v>
      </c>
      <c r="B37" s="3" t="s">
        <v>112</v>
      </c>
      <c r="C37" s="3" t="s">
        <v>113</v>
      </c>
      <c r="D37" s="3" t="s">
        <v>114</v>
      </c>
      <c r="E37" s="4" t="s">
        <v>8</v>
      </c>
      <c r="F37" s="3">
        <v>10</v>
      </c>
      <c r="G37" s="5">
        <v>7.4999999999999997E-2</v>
      </c>
      <c r="H37" s="5">
        <f t="shared" si="1"/>
        <v>0.75</v>
      </c>
      <c r="I37" s="3" t="s">
        <v>27</v>
      </c>
    </row>
    <row r="38" spans="1:9" x14ac:dyDescent="0.3">
      <c r="A38" s="2" t="s">
        <v>176</v>
      </c>
      <c r="B38" s="3" t="s">
        <v>115</v>
      </c>
      <c r="C38" s="3" t="s">
        <v>116</v>
      </c>
      <c r="D38" s="3" t="s">
        <v>117</v>
      </c>
      <c r="E38" s="4" t="s">
        <v>8</v>
      </c>
      <c r="F38" s="3">
        <v>20</v>
      </c>
      <c r="G38" s="5">
        <v>8.9999999999999993E-3</v>
      </c>
      <c r="H38" s="5">
        <f t="shared" si="1"/>
        <v>0.18</v>
      </c>
      <c r="I38" s="3" t="s">
        <v>27</v>
      </c>
    </row>
    <row r="39" spans="1:9" x14ac:dyDescent="0.3">
      <c r="A39" s="2" t="s">
        <v>176</v>
      </c>
      <c r="B39" s="3" t="s">
        <v>118</v>
      </c>
      <c r="C39" s="3" t="s">
        <v>119</v>
      </c>
      <c r="D39" s="3" t="s">
        <v>120</v>
      </c>
      <c r="E39" s="4" t="s">
        <v>8</v>
      </c>
      <c r="F39" s="3">
        <v>2</v>
      </c>
      <c r="G39" s="5">
        <v>0.26700000000000002</v>
      </c>
      <c r="H39" s="5">
        <f t="shared" si="1"/>
        <v>0.53400000000000003</v>
      </c>
      <c r="I39" s="3" t="s">
        <v>27</v>
      </c>
    </row>
    <row r="40" spans="1:9" x14ac:dyDescent="0.3">
      <c r="A40" s="2" t="s">
        <v>176</v>
      </c>
      <c r="B40" s="3" t="s">
        <v>121</v>
      </c>
      <c r="C40" s="3" t="s">
        <v>122</v>
      </c>
      <c r="D40" s="3" t="s">
        <v>123</v>
      </c>
      <c r="E40" s="4" t="s">
        <v>8</v>
      </c>
      <c r="F40" s="3">
        <v>2</v>
      </c>
      <c r="G40" s="5">
        <v>0.249</v>
      </c>
      <c r="H40" s="5">
        <f t="shared" si="1"/>
        <v>0.498</v>
      </c>
      <c r="I40" s="3" t="s">
        <v>27</v>
      </c>
    </row>
    <row r="41" spans="1:9" x14ac:dyDescent="0.3">
      <c r="A41" s="2" t="s">
        <v>176</v>
      </c>
      <c r="B41" s="3" t="s">
        <v>124</v>
      </c>
      <c r="C41" s="3" t="s">
        <v>125</v>
      </c>
      <c r="D41" s="3" t="s">
        <v>126</v>
      </c>
      <c r="E41" s="4" t="s">
        <v>8</v>
      </c>
      <c r="F41" s="3">
        <v>10</v>
      </c>
      <c r="G41" s="5">
        <v>9.9000000000000005E-2</v>
      </c>
      <c r="H41" s="5">
        <f t="shared" si="1"/>
        <v>0.99</v>
      </c>
      <c r="I41" s="3" t="s">
        <v>27</v>
      </c>
    </row>
    <row r="42" spans="1:9" x14ac:dyDescent="0.3">
      <c r="A42" s="2" t="s">
        <v>176</v>
      </c>
      <c r="B42" s="3" t="s">
        <v>127</v>
      </c>
      <c r="C42" s="3" t="s">
        <v>128</v>
      </c>
      <c r="D42" s="3" t="s">
        <v>129</v>
      </c>
      <c r="E42" s="4" t="s">
        <v>8</v>
      </c>
      <c r="F42" s="3">
        <v>10</v>
      </c>
      <c r="G42" s="5">
        <v>2.1999999999999999E-2</v>
      </c>
      <c r="H42" s="5">
        <f t="shared" si="1"/>
        <v>0.21999999999999997</v>
      </c>
      <c r="I42" s="3" t="s">
        <v>27</v>
      </c>
    </row>
    <row r="43" spans="1:9" x14ac:dyDescent="0.3">
      <c r="A43" s="2" t="s">
        <v>176</v>
      </c>
      <c r="B43" s="3" t="s">
        <v>130</v>
      </c>
      <c r="C43" s="3" t="s">
        <v>131</v>
      </c>
      <c r="D43" s="3" t="s">
        <v>132</v>
      </c>
      <c r="E43" s="4" t="s">
        <v>8</v>
      </c>
      <c r="F43" s="3">
        <v>10</v>
      </c>
      <c r="G43" s="5">
        <v>4.7E-2</v>
      </c>
      <c r="H43" s="5">
        <f t="shared" si="1"/>
        <v>0.47</v>
      </c>
      <c r="I43" s="3" t="s">
        <v>27</v>
      </c>
    </row>
    <row r="44" spans="1:9" x14ac:dyDescent="0.3">
      <c r="A44" s="2" t="s">
        <v>176</v>
      </c>
      <c r="B44" s="3" t="s">
        <v>133</v>
      </c>
      <c r="C44" s="3" t="s">
        <v>134</v>
      </c>
      <c r="D44" s="3" t="s">
        <v>135</v>
      </c>
      <c r="E44" s="4" t="s">
        <v>8</v>
      </c>
      <c r="F44" s="3">
        <v>10</v>
      </c>
      <c r="G44" s="5">
        <v>2.4E-2</v>
      </c>
      <c r="H44" s="5">
        <f t="shared" si="1"/>
        <v>0.24</v>
      </c>
      <c r="I44" s="3" t="s">
        <v>27</v>
      </c>
    </row>
    <row r="45" spans="1:9" x14ac:dyDescent="0.3">
      <c r="A45" s="2" t="s">
        <v>176</v>
      </c>
      <c r="B45" s="3" t="s">
        <v>136</v>
      </c>
      <c r="C45" s="3" t="s">
        <v>137</v>
      </c>
      <c r="D45" s="3" t="s">
        <v>138</v>
      </c>
      <c r="E45" s="4" t="s">
        <v>8</v>
      </c>
      <c r="F45" s="3">
        <v>2</v>
      </c>
      <c r="G45" s="5">
        <v>0.29199999999999998</v>
      </c>
      <c r="H45" s="5">
        <f t="shared" si="1"/>
        <v>0.58399999999999996</v>
      </c>
      <c r="I45" s="3" t="s">
        <v>27</v>
      </c>
    </row>
    <row r="46" spans="1:9" x14ac:dyDescent="0.3">
      <c r="A46" s="2" t="s">
        <v>176</v>
      </c>
      <c r="B46" s="3" t="s">
        <v>139</v>
      </c>
      <c r="C46" s="3" t="s">
        <v>140</v>
      </c>
      <c r="D46" s="3" t="s">
        <v>141</v>
      </c>
      <c r="E46" s="4" t="s">
        <v>8</v>
      </c>
      <c r="F46" s="3">
        <v>1</v>
      </c>
      <c r="G46" s="5">
        <v>0.26700000000000002</v>
      </c>
      <c r="H46" s="5">
        <f t="shared" si="1"/>
        <v>0.26700000000000002</v>
      </c>
      <c r="I46" s="3" t="s">
        <v>27</v>
      </c>
    </row>
    <row r="47" spans="1:9" x14ac:dyDescent="0.3">
      <c r="A47" s="2" t="s">
        <v>176</v>
      </c>
      <c r="B47" s="3" t="s">
        <v>142</v>
      </c>
      <c r="C47" s="3" t="s">
        <v>143</v>
      </c>
      <c r="D47" s="3" t="s">
        <v>144</v>
      </c>
      <c r="E47" s="4" t="s">
        <v>8</v>
      </c>
      <c r="F47" s="3">
        <v>1</v>
      </c>
      <c r="G47" s="5">
        <v>0.18099999999999999</v>
      </c>
      <c r="H47" s="5">
        <f t="shared" si="1"/>
        <v>0.18099999999999999</v>
      </c>
      <c r="I47" s="3" t="s">
        <v>27</v>
      </c>
    </row>
    <row r="48" spans="1:9" x14ac:dyDescent="0.3">
      <c r="A48" s="2" t="s">
        <v>176</v>
      </c>
      <c r="B48" s="3" t="s">
        <v>145</v>
      </c>
      <c r="C48" s="3" t="s">
        <v>146</v>
      </c>
      <c r="D48" s="3" t="s">
        <v>147</v>
      </c>
      <c r="E48" s="4" t="s">
        <v>8</v>
      </c>
      <c r="F48" s="3">
        <v>2</v>
      </c>
      <c r="G48" s="5">
        <v>0.23100000000000001</v>
      </c>
      <c r="H48" s="5">
        <f t="shared" si="1"/>
        <v>0.46200000000000002</v>
      </c>
      <c r="I48" s="3" t="s">
        <v>27</v>
      </c>
    </row>
    <row r="49" spans="1:9" x14ac:dyDescent="0.3">
      <c r="A49" s="2" t="s">
        <v>176</v>
      </c>
      <c r="B49" s="3" t="s">
        <v>148</v>
      </c>
      <c r="C49" s="3" t="s">
        <v>149</v>
      </c>
      <c r="D49" s="3" t="s">
        <v>150</v>
      </c>
      <c r="E49" s="4" t="s">
        <v>8</v>
      </c>
      <c r="F49" s="3">
        <v>10</v>
      </c>
      <c r="G49" s="5">
        <v>0.02</v>
      </c>
      <c r="H49" s="5">
        <f t="shared" si="1"/>
        <v>0.2</v>
      </c>
      <c r="I49" s="3" t="s">
        <v>27</v>
      </c>
    </row>
    <row r="50" spans="1:9" x14ac:dyDescent="0.3">
      <c r="A50" s="2" t="s">
        <v>176</v>
      </c>
      <c r="B50" s="3" t="s">
        <v>151</v>
      </c>
      <c r="C50" s="3" t="s">
        <v>152</v>
      </c>
      <c r="D50" s="3" t="s">
        <v>153</v>
      </c>
      <c r="E50" s="4" t="s">
        <v>8</v>
      </c>
      <c r="F50" s="3">
        <v>1</v>
      </c>
      <c r="G50" s="5">
        <v>0.51600000000000001</v>
      </c>
      <c r="H50" s="5">
        <f t="shared" si="1"/>
        <v>0.51600000000000001</v>
      </c>
      <c r="I50" s="3" t="s">
        <v>27</v>
      </c>
    </row>
    <row r="51" spans="1:9" x14ac:dyDescent="0.3">
      <c r="A51" s="2" t="s">
        <v>176</v>
      </c>
      <c r="B51" s="3" t="s">
        <v>154</v>
      </c>
      <c r="C51" s="3" t="s">
        <v>155</v>
      </c>
      <c r="D51" s="3" t="s">
        <v>156</v>
      </c>
      <c r="E51" s="4" t="s">
        <v>8</v>
      </c>
      <c r="F51" s="3">
        <v>1</v>
      </c>
      <c r="G51" s="5">
        <v>0.28399999999999997</v>
      </c>
      <c r="H51" s="5">
        <f t="shared" si="1"/>
        <v>0.28399999999999997</v>
      </c>
      <c r="I51" s="3" t="s">
        <v>27</v>
      </c>
    </row>
    <row r="52" spans="1:9" x14ac:dyDescent="0.3">
      <c r="A52" s="2" t="s">
        <v>176</v>
      </c>
      <c r="B52" s="3" t="s">
        <v>157</v>
      </c>
      <c r="C52" s="3" t="s">
        <v>158</v>
      </c>
      <c r="D52" s="3" t="s">
        <v>159</v>
      </c>
      <c r="E52" s="4" t="s">
        <v>8</v>
      </c>
      <c r="F52" s="3">
        <v>2</v>
      </c>
      <c r="G52" s="5">
        <v>9.5000000000000001E-2</v>
      </c>
      <c r="H52" s="5">
        <f t="shared" si="1"/>
        <v>0.19</v>
      </c>
      <c r="I52" s="3" t="s">
        <v>27</v>
      </c>
    </row>
    <row r="53" spans="1:9" x14ac:dyDescent="0.3">
      <c r="A53" s="2" t="s">
        <v>176</v>
      </c>
      <c r="B53" s="3" t="s">
        <v>160</v>
      </c>
      <c r="C53" s="3" t="s">
        <v>161</v>
      </c>
      <c r="D53" s="3" t="s">
        <v>162</v>
      </c>
      <c r="E53" s="4" t="s">
        <v>8</v>
      </c>
      <c r="F53" s="3">
        <v>1</v>
      </c>
      <c r="G53" s="5">
        <v>1.81</v>
      </c>
      <c r="H53" s="5">
        <f t="shared" si="1"/>
        <v>1.81</v>
      </c>
      <c r="I53" s="3" t="s">
        <v>27</v>
      </c>
    </row>
    <row r="54" spans="1:9" x14ac:dyDescent="0.3">
      <c r="A54" s="2" t="s">
        <v>176</v>
      </c>
      <c r="B54" s="3" t="s">
        <v>163</v>
      </c>
      <c r="C54" s="3" t="s">
        <v>164</v>
      </c>
      <c r="D54" s="3" t="s">
        <v>165</v>
      </c>
      <c r="E54" s="4" t="s">
        <v>8</v>
      </c>
      <c r="F54" s="3">
        <v>1</v>
      </c>
      <c r="G54" s="5">
        <v>0.10299999999999999</v>
      </c>
      <c r="H54" s="5">
        <f t="shared" si="1"/>
        <v>0.10299999999999999</v>
      </c>
      <c r="I54" s="3" t="s">
        <v>27</v>
      </c>
    </row>
    <row r="55" spans="1:9" x14ac:dyDescent="0.3">
      <c r="A55" s="2" t="s">
        <v>176</v>
      </c>
      <c r="B55" s="3" t="s">
        <v>166</v>
      </c>
      <c r="C55" s="3" t="s">
        <v>167</v>
      </c>
      <c r="D55" s="3" t="s">
        <v>168</v>
      </c>
      <c r="E55" s="4" t="s">
        <v>8</v>
      </c>
      <c r="F55" s="3">
        <v>2</v>
      </c>
      <c r="G55" s="5">
        <v>2.61</v>
      </c>
      <c r="H55" s="5">
        <f t="shared" si="1"/>
        <v>5.22</v>
      </c>
      <c r="I55" s="3" t="s">
        <v>27</v>
      </c>
    </row>
    <row r="56" spans="1:9" x14ac:dyDescent="0.3">
      <c r="A56" s="2" t="s">
        <v>176</v>
      </c>
      <c r="B56" s="3" t="s">
        <v>169</v>
      </c>
      <c r="C56" s="3" t="s">
        <v>170</v>
      </c>
      <c r="D56" s="3" t="s">
        <v>171</v>
      </c>
      <c r="E56" s="4" t="s">
        <v>8</v>
      </c>
      <c r="F56" s="3">
        <v>1</v>
      </c>
      <c r="G56" s="5">
        <v>1.1000000000000001</v>
      </c>
      <c r="H56" s="5">
        <f t="shared" si="1"/>
        <v>1.1000000000000001</v>
      </c>
      <c r="I56" s="3" t="s">
        <v>27</v>
      </c>
    </row>
    <row r="57" spans="1:9" x14ac:dyDescent="0.3">
      <c r="A57" s="2" t="s">
        <v>176</v>
      </c>
      <c r="B57" s="3" t="s">
        <v>172</v>
      </c>
      <c r="C57" s="3" t="s">
        <v>173</v>
      </c>
      <c r="D57" s="3" t="s">
        <v>174</v>
      </c>
      <c r="E57" s="4" t="s">
        <v>8</v>
      </c>
      <c r="F57" s="3">
        <v>1</v>
      </c>
      <c r="G57" s="5">
        <v>1.69</v>
      </c>
      <c r="H57" s="5">
        <f t="shared" si="1"/>
        <v>1.69</v>
      </c>
      <c r="I57" s="3" t="s">
        <v>27</v>
      </c>
    </row>
    <row r="58" spans="1:9" x14ac:dyDescent="0.3">
      <c r="A58" s="2" t="s">
        <v>178</v>
      </c>
      <c r="B58" s="3" t="s">
        <v>181</v>
      </c>
      <c r="C58" s="6" t="s">
        <v>179</v>
      </c>
      <c r="D58" s="3" t="s">
        <v>180</v>
      </c>
      <c r="E58" s="2"/>
      <c r="F58" s="3">
        <v>4</v>
      </c>
      <c r="G58" s="5"/>
      <c r="H58" s="5">
        <v>1.35</v>
      </c>
      <c r="I58" s="7">
        <v>45942</v>
      </c>
    </row>
    <row r="59" spans="1:9" x14ac:dyDescent="0.3">
      <c r="A59" s="2" t="s">
        <v>178</v>
      </c>
      <c r="B59" s="3" t="s">
        <v>181</v>
      </c>
      <c r="C59" s="8" t="s">
        <v>182</v>
      </c>
      <c r="D59" s="2" t="s">
        <v>183</v>
      </c>
      <c r="E59" s="2"/>
      <c r="F59" s="2">
        <v>1</v>
      </c>
      <c r="G59" s="5"/>
      <c r="H59" s="5">
        <v>1.9</v>
      </c>
      <c r="I59" s="7">
        <v>45942</v>
      </c>
    </row>
    <row r="60" spans="1:9" x14ac:dyDescent="0.3">
      <c r="A60" s="2" t="s">
        <v>178</v>
      </c>
      <c r="B60" s="3" t="s">
        <v>181</v>
      </c>
      <c r="C60" s="8"/>
      <c r="D60" s="2" t="s">
        <v>184</v>
      </c>
      <c r="E60" s="2"/>
      <c r="F60" s="2">
        <v>1</v>
      </c>
      <c r="G60" s="5">
        <v>11.29</v>
      </c>
      <c r="H60" s="5">
        <f>+G60*F60</f>
        <v>11.29</v>
      </c>
      <c r="I60" s="7">
        <v>45942</v>
      </c>
    </row>
    <row r="61" spans="1:9" x14ac:dyDescent="0.3">
      <c r="A61" s="2" t="s">
        <v>178</v>
      </c>
      <c r="B61" s="3" t="s">
        <v>181</v>
      </c>
      <c r="C61" s="8"/>
      <c r="D61" s="2" t="s">
        <v>185</v>
      </c>
      <c r="E61" s="2"/>
      <c r="F61" s="2">
        <v>2</v>
      </c>
      <c r="G61" s="5"/>
      <c r="H61" s="5">
        <v>1.1299999999999999</v>
      </c>
      <c r="I61" s="7">
        <v>45942</v>
      </c>
    </row>
    <row r="62" spans="1:9" x14ac:dyDescent="0.3">
      <c r="A62" s="2" t="s">
        <v>178</v>
      </c>
      <c r="B62" s="3" t="s">
        <v>181</v>
      </c>
      <c r="C62" s="2"/>
      <c r="D62" s="2" t="s">
        <v>186</v>
      </c>
      <c r="E62" s="2"/>
      <c r="F62" s="2">
        <v>11</v>
      </c>
      <c r="G62" s="5"/>
      <c r="H62" s="5">
        <v>3.19</v>
      </c>
      <c r="I62" s="7">
        <v>45942</v>
      </c>
    </row>
    <row r="63" spans="1:9" x14ac:dyDescent="0.3">
      <c r="A63" s="2" t="s">
        <v>178</v>
      </c>
      <c r="B63" s="3" t="s">
        <v>181</v>
      </c>
      <c r="C63" s="2"/>
      <c r="D63" s="2" t="s">
        <v>187</v>
      </c>
      <c r="E63" s="2"/>
      <c r="F63" s="2">
        <v>15</v>
      </c>
      <c r="G63" s="5"/>
      <c r="H63" s="5">
        <v>1.1399999999999999</v>
      </c>
      <c r="I63" s="7">
        <v>45942</v>
      </c>
    </row>
    <row r="64" spans="1:9" x14ac:dyDescent="0.3">
      <c r="A64" s="2" t="s">
        <v>178</v>
      </c>
      <c r="B64" s="3" t="s">
        <v>181</v>
      </c>
      <c r="C64" s="2" t="s">
        <v>188</v>
      </c>
      <c r="D64" s="2" t="s">
        <v>189</v>
      </c>
      <c r="E64" s="2"/>
      <c r="F64" s="2">
        <v>4</v>
      </c>
      <c r="G64" s="5"/>
      <c r="H64" s="5">
        <v>1.91</v>
      </c>
      <c r="I64" s="7">
        <v>45942</v>
      </c>
    </row>
    <row r="65" spans="1:9" x14ac:dyDescent="0.3">
      <c r="A65" s="2" t="s">
        <v>178</v>
      </c>
      <c r="B65" s="3" t="s">
        <v>181</v>
      </c>
      <c r="C65" s="2"/>
      <c r="D65" s="2" t="s">
        <v>192</v>
      </c>
      <c r="E65" s="2"/>
      <c r="F65" s="2">
        <v>15</v>
      </c>
      <c r="G65" s="5"/>
      <c r="H65" s="5">
        <v>1.2</v>
      </c>
      <c r="I65" s="7">
        <v>45942</v>
      </c>
    </row>
    <row r="66" spans="1:9" x14ac:dyDescent="0.3">
      <c r="A66" s="2" t="s">
        <v>190</v>
      </c>
      <c r="B66" s="3" t="s">
        <v>181</v>
      </c>
      <c r="C66" s="2"/>
      <c r="D66" s="2" t="s">
        <v>191</v>
      </c>
      <c r="E66" s="2"/>
      <c r="F66" s="2">
        <v>1</v>
      </c>
      <c r="G66" s="5"/>
      <c r="H66" s="5">
        <v>107.02</v>
      </c>
      <c r="I66" s="7">
        <v>45942</v>
      </c>
    </row>
  </sheetData>
  <autoFilter ref="B1:I57" xr:uid="{7502EFA6-C542-4F43-8E4D-651DE45CEEAE}"/>
  <pageMargins left="0.25" right="0.25" top="0.75" bottom="0.75" header="0.3" footer="0.3"/>
  <pageSetup paperSize="8" scale="72" orientation="landscape" r:id="rId1"/>
  <headerFooter>
    <oddFooter>&amp;R_x000D_&amp;1#&amp;"Arial"&amp;10&amp;K000000 Confidential C</oddFooter>
  </headerFooter>
</worksheet>
</file>

<file path=docMetadata/LabelInfo.xml><?xml version="1.0" encoding="utf-8"?>
<clbl:labelList xmlns:clbl="http://schemas.microsoft.com/office/2020/mipLabelMetadata">
  <clbl:label id="{fd1c0902-ed92-4fed-896d-2e7725de02d4}" enabled="1" method="Standard" siteId="{d6b0bbee-7cd9-4d60-bce6-4a67b543e2a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BOUZIANI Abdelaziz (AMPERE)</dc:creator>
  <cp:lastModifiedBy>BOUZIANI Abdelaziz (AMPERE)</cp:lastModifiedBy>
  <cp:lastPrinted>2026-02-19T20:55:08Z</cp:lastPrinted>
  <dcterms:created xsi:type="dcterms:W3CDTF">2025-10-16T16:48:58Z</dcterms:created>
  <dcterms:modified xsi:type="dcterms:W3CDTF">2026-02-19T20:55:30Z</dcterms:modified>
</cp:coreProperties>
</file>