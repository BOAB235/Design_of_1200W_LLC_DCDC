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37702\NotSynchronized\git\Design_of_1200W_LLC_DCDC\05_validations\driver_test\05_Gain\00_Simulation\"/>
    </mc:Choice>
  </mc:AlternateContent>
  <xr:revisionPtr revIDLastSave="0" documentId="8_{B106840D-38F1-4B4E-A9B6-E8424549DBD3}" xr6:coauthVersionLast="47" xr6:coauthVersionMax="47" xr10:uidLastSave="{00000000-0000-0000-0000-000000000000}"/>
  <bookViews>
    <workbookView xWindow="-108" yWindow="-108" windowWidth="23256" windowHeight="12456" xr2:uid="{FB3C1BEE-E9DF-44D1-9A40-08EE463EBD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11" i="1" s="1"/>
  <c r="F6" i="1"/>
  <c r="H6" i="1"/>
  <c r="F5" i="1"/>
  <c r="H5" i="1" s="1"/>
  <c r="F4" i="1"/>
  <c r="H4" i="1" s="1"/>
  <c r="H7" i="1" s="1"/>
  <c r="H8" i="1" s="1"/>
  <c r="H13" i="1" s="1"/>
  <c r="H14" i="1" s="1"/>
</calcChain>
</file>

<file path=xl/sharedStrings.xml><?xml version="1.0" encoding="utf-8"?>
<sst xmlns="http://schemas.openxmlformats.org/spreadsheetml/2006/main" count="20" uniqueCount="18">
  <si>
    <t>L mm</t>
  </si>
  <si>
    <t>l mm</t>
  </si>
  <si>
    <t>L*l (mm2)</t>
  </si>
  <si>
    <t xml:space="preserve">N </t>
  </si>
  <si>
    <t>N*L*l (mm2)</t>
  </si>
  <si>
    <t>Area tot</t>
  </si>
  <si>
    <t>mm2</t>
  </si>
  <si>
    <t>m2</t>
  </si>
  <si>
    <t>FR4 Dielectric Constant and</t>
  </si>
  <si>
    <t>thickness</t>
  </si>
  <si>
    <t>mm</t>
  </si>
  <si>
    <t>m</t>
  </si>
  <si>
    <t>Capa</t>
  </si>
  <si>
    <t xml:space="preserve">εo </t>
  </si>
  <si>
    <t xml:space="preserve"> Farads per metre</t>
  </si>
  <si>
    <t>F</t>
  </si>
  <si>
    <t xml:space="preserve">Capa </t>
  </si>
  <si>
    <t>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</si>
</sst>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03D6-961E-4F21-8BEB-469028263B83}">
  <dimension ref="D3:I14"/>
  <sheetViews>
    <sheetView tabSelected="1" workbookViewId="0">
      <selection activeCell="I18" sqref="I18"/>
    </sheetView>
  </sheetViews>
  <sheetFormatPr defaultRowHeight="14.4" x14ac:dyDescent="0.3"/>
  <cols>
    <col min="7" max="7" width="23.44140625" bestFit="1" customWidth="1"/>
  </cols>
  <sheetData>
    <row r="3" spans="4:9" x14ac:dyDescent="0.3">
      <c r="D3" t="s">
        <v>0</v>
      </c>
      <c r="E3" t="s">
        <v>1</v>
      </c>
      <c r="F3" t="s">
        <v>2</v>
      </c>
      <c r="G3" t="s">
        <v>3</v>
      </c>
      <c r="H3" t="s">
        <v>4</v>
      </c>
    </row>
    <row r="4" spans="4:9" x14ac:dyDescent="0.3">
      <c r="D4">
        <v>30</v>
      </c>
      <c r="E4">
        <v>37</v>
      </c>
      <c r="F4">
        <f>+D4+E4</f>
        <v>67</v>
      </c>
      <c r="G4">
        <v>2</v>
      </c>
      <c r="H4">
        <f>+F4*G4</f>
        <v>134</v>
      </c>
    </row>
    <row r="5" spans="4:9" x14ac:dyDescent="0.3">
      <c r="D5">
        <v>30</v>
      </c>
      <c r="E5">
        <v>30</v>
      </c>
      <c r="F5">
        <f>+D5+E5</f>
        <v>60</v>
      </c>
      <c r="G5">
        <v>2</v>
      </c>
      <c r="H5">
        <f>+F5*G5</f>
        <v>120</v>
      </c>
    </row>
    <row r="6" spans="4:9" x14ac:dyDescent="0.3">
      <c r="D6">
        <v>30</v>
      </c>
      <c r="E6">
        <v>18</v>
      </c>
      <c r="F6">
        <f>+D6+E6</f>
        <v>48</v>
      </c>
      <c r="G6">
        <v>3</v>
      </c>
      <c r="H6">
        <f>+F6*G6</f>
        <v>144</v>
      </c>
    </row>
    <row r="7" spans="4:9" x14ac:dyDescent="0.3">
      <c r="G7" t="s">
        <v>5</v>
      </c>
      <c r="H7">
        <f>+SUM(H3:H6)</f>
        <v>398</v>
      </c>
      <c r="I7" t="s">
        <v>6</v>
      </c>
    </row>
    <row r="8" spans="4:9" x14ac:dyDescent="0.3">
      <c r="G8" t="s">
        <v>5</v>
      </c>
      <c r="H8">
        <f>+H7*0.000001</f>
        <v>3.9799999999999997E-4</v>
      </c>
      <c r="I8" t="s">
        <v>7</v>
      </c>
    </row>
    <row r="9" spans="4:9" x14ac:dyDescent="0.3">
      <c r="G9" t="s">
        <v>8</v>
      </c>
      <c r="H9">
        <v>4</v>
      </c>
    </row>
    <row r="10" spans="4:9" x14ac:dyDescent="0.3">
      <c r="G10" t="s">
        <v>9</v>
      </c>
      <c r="H10">
        <f>1.6/3</f>
        <v>0.53333333333333333</v>
      </c>
      <c r="I10" t="s">
        <v>10</v>
      </c>
    </row>
    <row r="11" spans="4:9" x14ac:dyDescent="0.3">
      <c r="G11" t="s">
        <v>9</v>
      </c>
      <c r="H11">
        <f>+H10*0.001</f>
        <v>5.3333333333333336E-4</v>
      </c>
      <c r="I11" t="s">
        <v>11</v>
      </c>
    </row>
    <row r="12" spans="4:9" x14ac:dyDescent="0.3">
      <c r="G12" t="s">
        <v>13</v>
      </c>
      <c r="H12" s="1">
        <v>8.8539999999999992E-12</v>
      </c>
      <c r="I12" t="s">
        <v>14</v>
      </c>
    </row>
    <row r="13" spans="4:9" x14ac:dyDescent="0.3">
      <c r="G13" t="s">
        <v>12</v>
      </c>
      <c r="H13" s="1">
        <f>+H9*H8*H12/H11</f>
        <v>2.6429189999999994E-11</v>
      </c>
      <c r="I13" t="s">
        <v>15</v>
      </c>
    </row>
    <row r="14" spans="4:9" x14ac:dyDescent="0.3">
      <c r="G14" t="s">
        <v>16</v>
      </c>
      <c r="H14">
        <f>+H13*1000000000000</f>
        <v>26.429189999999995</v>
      </c>
      <c r="I1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BOUZIANI Abdelaziz (AMPERE)</dc:creator>
  <cp:lastModifiedBy>BOUZIANI Abdelaziz (AMPERE)</cp:lastModifiedBy>
  <dcterms:created xsi:type="dcterms:W3CDTF">2025-12-10T09:30:45Z</dcterms:created>
  <dcterms:modified xsi:type="dcterms:W3CDTF">2025-12-10T09:38:23Z</dcterms:modified>
</cp:coreProperties>
</file>