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05_Gain\09_Gain\01_test1\"/>
    </mc:Choice>
  </mc:AlternateContent>
  <xr:revisionPtr revIDLastSave="0" documentId="13_ncr:1_{D16D5369-FE0D-4780-9EEB-5B3E216FA036}" xr6:coauthVersionLast="47" xr6:coauthVersionMax="47" xr10:uidLastSave="{00000000-0000-0000-0000-000000000000}"/>
  <bookViews>
    <workbookView xWindow="4200" yWindow="3336" windowWidth="17280" windowHeight="89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<sst xmlns="http://schemas.openxmlformats.org/spreadsheetml/2006/main" count="8" uniqueCount="8">
  <si>
    <t xml:space="preserve">Vin min around 350v to 340v </t>
  </si>
  <si>
    <t xml:space="preserve">Load max around 22.6 ohm </t>
  </si>
  <si>
    <t xml:space="preserve">Freq kHz </t>
  </si>
  <si>
    <t>Vout DC</t>
  </si>
  <si>
    <t xml:space="preserve">Le dcdc a été casé juste ici </t>
  </si>
  <si>
    <t xml:space="preserve">RLoad </t>
  </si>
  <si>
    <t>Iout</t>
  </si>
  <si>
    <t xml:space="preserve">Pout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</si>
</sst>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Vout DC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Sheet1!$D$2:$D$8</c:f>
              <c:numCache>
                <c:formatCode>General</c:formatCode>
                <c:ptCount val="7"/>
                <c:pt idx="0">
                  <c:v>155</c:v>
                </c:pt>
                <c:pt idx="1">
                  <c:v>147</c:v>
                </c:pt>
                <c:pt idx="2">
                  <c:v>121</c:v>
                </c:pt>
                <c:pt idx="3">
                  <c:v>110.9</c:v>
                </c:pt>
                <c:pt idx="4">
                  <c:v>91.25</c:v>
                </c:pt>
                <c:pt idx="5">
                  <c:v>79.91</c:v>
                </c:pt>
                <c:pt idx="6">
                  <c:v>77.83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37.299999999999997</c:v>
                </c:pt>
                <c:pt idx="1">
                  <c:v>37.700000000000003</c:v>
                </c:pt>
                <c:pt idx="2">
                  <c:v>38.549999999999997</c:v>
                </c:pt>
                <c:pt idx="3">
                  <c:v>40.479999999999997</c:v>
                </c:pt>
                <c:pt idx="4">
                  <c:v>44.19</c:v>
                </c:pt>
                <c:pt idx="5">
                  <c:v>47.02</c:v>
                </c:pt>
                <c:pt idx="6">
                  <c:v>48.88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D-490F-8BEA-54DAA0402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057535"/>
        <c:axId val="2122070015"/>
      </c:scatterChart>
      <c:valAx>
        <c:axId val="212205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70015"/>
        <c:crosses val="autoZero"/>
        <c:crossBetween val="midCat"/>
      </c:valAx>
      <c:valAx>
        <c:axId val="21220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5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1</xdr:row>
      <xdr:rowOff>148590</xdr:rowOff>
    </xdr:from>
    <xdr:to>
      <xdr:col>16</xdr:col>
      <xdr:colOff>53340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26F05-35B5-100E-4272-68849F8DA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3" sqref="H13"/>
    </sheetView>
  </sheetViews>
  <sheetFormatPr defaultRowHeight="14.4" x14ac:dyDescent="0.3"/>
  <sheetData>
    <row r="1" spans="1:8" x14ac:dyDescent="0.3">
      <c r="A1" t="s">
        <v>0</v>
      </c>
      <c r="D1" t="s">
        <v>2</v>
      </c>
      <c r="E1" t="s">
        <v>3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D2">
        <v>155</v>
      </c>
      <c r="E2">
        <v>37.299999999999997</v>
      </c>
      <c r="F2">
        <v>22</v>
      </c>
      <c r="G2">
        <f>+E2/F2</f>
        <v>1.6954545454545453</v>
      </c>
      <c r="H2">
        <f>+E2*G2</f>
        <v>63.240454545454533</v>
      </c>
    </row>
    <row r="3" spans="1:8" x14ac:dyDescent="0.3">
      <c r="D3">
        <v>147</v>
      </c>
      <c r="E3">
        <v>37.700000000000003</v>
      </c>
      <c r="F3">
        <v>22</v>
      </c>
      <c r="G3">
        <f t="shared" ref="G3:G8" si="0">+E3/F3</f>
        <v>1.7136363636363638</v>
      </c>
      <c r="H3">
        <f t="shared" ref="H3:H8" si="1">+E3*G3</f>
        <v>64.604090909090928</v>
      </c>
    </row>
    <row r="4" spans="1:8" x14ac:dyDescent="0.3">
      <c r="D4">
        <v>121</v>
      </c>
      <c r="E4">
        <v>38.549999999999997</v>
      </c>
      <c r="F4">
        <v>22</v>
      </c>
      <c r="G4">
        <f t="shared" si="0"/>
        <v>1.7522727272727272</v>
      </c>
      <c r="H4">
        <f t="shared" si="1"/>
        <v>67.550113636363633</v>
      </c>
    </row>
    <row r="5" spans="1:8" x14ac:dyDescent="0.3">
      <c r="D5">
        <v>110.9</v>
      </c>
      <c r="E5">
        <v>40.479999999999997</v>
      </c>
      <c r="F5">
        <v>22</v>
      </c>
      <c r="G5">
        <f t="shared" si="0"/>
        <v>1.8399999999999999</v>
      </c>
      <c r="H5">
        <f t="shared" si="1"/>
        <v>74.483199999999982</v>
      </c>
    </row>
    <row r="6" spans="1:8" x14ac:dyDescent="0.3">
      <c r="D6">
        <v>91.25</v>
      </c>
      <c r="E6">
        <v>44.19</v>
      </c>
      <c r="F6">
        <v>22</v>
      </c>
      <c r="G6">
        <f t="shared" si="0"/>
        <v>2.0086363636363633</v>
      </c>
      <c r="H6">
        <f t="shared" si="1"/>
        <v>88.761640909090886</v>
      </c>
    </row>
    <row r="7" spans="1:8" x14ac:dyDescent="0.3">
      <c r="D7">
        <v>79.91</v>
      </c>
      <c r="E7">
        <v>47.02</v>
      </c>
      <c r="F7">
        <v>22</v>
      </c>
      <c r="G7">
        <f t="shared" si="0"/>
        <v>2.1372727272727272</v>
      </c>
      <c r="H7">
        <f t="shared" si="1"/>
        <v>100.49456363636364</v>
      </c>
    </row>
    <row r="8" spans="1:8" x14ac:dyDescent="0.3">
      <c r="D8">
        <v>77.83</v>
      </c>
      <c r="E8">
        <v>48.88</v>
      </c>
      <c r="F8">
        <v>22</v>
      </c>
      <c r="G8">
        <f t="shared" si="0"/>
        <v>2.2218181818181821</v>
      </c>
      <c r="H8">
        <f t="shared" si="1"/>
        <v>108.60247272727275</v>
      </c>
    </row>
    <row r="9" spans="1:8" x14ac:dyDescent="0.3">
      <c r="F9" t="s">
        <v>4</v>
      </c>
    </row>
  </sheetData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2015-06-05T18:17:20Z</dcterms:created>
  <dcterms:modified xsi:type="dcterms:W3CDTF">2026-01-08T18:01:45Z</dcterms:modified>
</cp:coreProperties>
</file>