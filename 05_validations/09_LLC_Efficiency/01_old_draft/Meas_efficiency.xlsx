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037702\NotSynchronized\git\Design_of_1200W_LLC_DCDC\05_validations\efficiency\"/>
    </mc:Choice>
  </mc:AlternateContent>
  <xr:revisionPtr revIDLastSave="0" documentId="13_ncr:1_{794F8865-0AFE-46E4-9BFD-367E22B04E1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UNT CHECK" sheetId="1" r:id="rId1"/>
    <sheet name="Sheet2" sheetId="5" r:id="rId2"/>
    <sheet name="Efficiency" sheetId="2" r:id="rId3"/>
    <sheet name="Efficiency_Rnom" sheetId="3" r:id="rId4"/>
    <sheet name="Efficiency_Rnom (2)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2" l="1"/>
  <c r="L4" i="2"/>
  <c r="L5" i="2"/>
  <c r="L6" i="2"/>
  <c r="L7" i="2"/>
  <c r="L8" i="2"/>
  <c r="L2" i="2"/>
  <c r="M3" i="2"/>
  <c r="M4" i="2"/>
  <c r="M5" i="2"/>
  <c r="M6" i="2"/>
  <c r="M7" i="2"/>
  <c r="M8" i="2"/>
  <c r="M2" i="2"/>
  <c r="P9" i="1"/>
  <c r="N9" i="1"/>
  <c r="P22" i="1"/>
  <c r="N22" i="1" s="1"/>
  <c r="P23" i="1"/>
  <c r="N23" i="1" s="1"/>
  <c r="P21" i="1"/>
  <c r="N21" i="1" s="1"/>
  <c r="O18" i="1"/>
  <c r="M18" i="1"/>
  <c r="P10" i="1"/>
  <c r="P11" i="1"/>
  <c r="N10" i="1"/>
  <c r="N11" i="1"/>
  <c r="O6" i="1"/>
  <c r="M6" i="1"/>
  <c r="G3" i="4"/>
  <c r="J3" i="4" s="1"/>
  <c r="G4" i="4"/>
  <c r="G5" i="4"/>
  <c r="G6" i="4"/>
  <c r="J6" i="4" s="1"/>
  <c r="G7" i="4"/>
  <c r="J7" i="4" s="1"/>
  <c r="G8" i="4"/>
  <c r="J4" i="4"/>
  <c r="G2" i="4"/>
  <c r="J2" i="4" s="1"/>
  <c r="J6" i="1"/>
  <c r="E8" i="1"/>
  <c r="J5" i="1"/>
  <c r="J5" i="4"/>
  <c r="C2" i="4"/>
  <c r="J8" i="4"/>
  <c r="H8" i="4"/>
  <c r="I8" i="4" s="1"/>
  <c r="C8" i="4"/>
  <c r="D8" i="4" s="1"/>
  <c r="C7" i="4"/>
  <c r="D7" i="4" s="1"/>
  <c r="D6" i="4"/>
  <c r="C6" i="4"/>
  <c r="C5" i="4"/>
  <c r="D5" i="4" s="1"/>
  <c r="C4" i="4"/>
  <c r="D4" i="4" s="1"/>
  <c r="D3" i="4"/>
  <c r="C3" i="4"/>
  <c r="D2" i="4"/>
  <c r="C3" i="3"/>
  <c r="C4" i="3"/>
  <c r="C5" i="3"/>
  <c r="C6" i="3"/>
  <c r="C7" i="3"/>
  <c r="C8" i="3"/>
  <c r="C2" i="3"/>
  <c r="C5" i="1"/>
  <c r="E5" i="1" s="1"/>
  <c r="B5" i="1"/>
  <c r="G2" i="3"/>
  <c r="D3" i="3"/>
  <c r="J8" i="3"/>
  <c r="G8" i="3"/>
  <c r="H8" i="3" s="1"/>
  <c r="G7" i="3"/>
  <c r="J7" i="3" s="1"/>
  <c r="G6" i="3"/>
  <c r="J6" i="3" s="1"/>
  <c r="D6" i="3"/>
  <c r="G5" i="3"/>
  <c r="J5" i="3" s="1"/>
  <c r="G4" i="3"/>
  <c r="J4" i="3" s="1"/>
  <c r="G3" i="3"/>
  <c r="J3" i="3" s="1"/>
  <c r="J2" i="3"/>
  <c r="C16" i="2"/>
  <c r="C3" i="2" s="1"/>
  <c r="D3" i="2" s="1"/>
  <c r="E17" i="1"/>
  <c r="C19" i="1" s="1"/>
  <c r="G8" i="2"/>
  <c r="J8" i="2" s="1"/>
  <c r="H8" i="2"/>
  <c r="G6" i="2"/>
  <c r="H6" i="2"/>
  <c r="J6" i="2"/>
  <c r="G7" i="2"/>
  <c r="H7" i="2"/>
  <c r="J7" i="2"/>
  <c r="J3" i="2"/>
  <c r="J4" i="2"/>
  <c r="J5" i="2"/>
  <c r="G5" i="2"/>
  <c r="H5" i="2"/>
  <c r="G4" i="2"/>
  <c r="H4" i="2"/>
  <c r="G3" i="2"/>
  <c r="H3" i="2"/>
  <c r="G2" i="2"/>
  <c r="H2" i="2" s="1"/>
  <c r="B14" i="1"/>
  <c r="C14" i="1" s="1"/>
  <c r="E11" i="1"/>
  <c r="G14" i="1" s="1"/>
  <c r="E9" i="1"/>
  <c r="E10" i="1"/>
  <c r="H3" i="4" l="1"/>
  <c r="I3" i="4" s="1"/>
  <c r="H5" i="4"/>
  <c r="I5" i="4" s="1"/>
  <c r="H6" i="4"/>
  <c r="I6" i="4" s="1"/>
  <c r="H4" i="4"/>
  <c r="I4" i="4" s="1"/>
  <c r="H7" i="4"/>
  <c r="I7" i="4" s="1"/>
  <c r="H2" i="4"/>
  <c r="I2" i="4" s="1"/>
  <c r="H3" i="3"/>
  <c r="I3" i="3" s="1"/>
  <c r="H6" i="3"/>
  <c r="I6" i="3" s="1"/>
  <c r="D4" i="3"/>
  <c r="D7" i="3"/>
  <c r="H4" i="3"/>
  <c r="I4" i="3" s="1"/>
  <c r="D2" i="3"/>
  <c r="H7" i="3"/>
  <c r="I7" i="3" s="1"/>
  <c r="D5" i="3"/>
  <c r="H2" i="3"/>
  <c r="I2" i="3" s="1"/>
  <c r="D8" i="3"/>
  <c r="I8" i="3" s="1"/>
  <c r="H5" i="3"/>
  <c r="I5" i="3" s="1"/>
  <c r="C6" i="2"/>
  <c r="D6" i="2" s="1"/>
  <c r="C5" i="2"/>
  <c r="D5" i="2" s="1"/>
  <c r="I5" i="2" s="1"/>
  <c r="C4" i="2"/>
  <c r="D4" i="2" s="1"/>
  <c r="C2" i="2"/>
  <c r="D2" i="2" s="1"/>
  <c r="I2" i="2" s="1"/>
  <c r="C7" i="2"/>
  <c r="D7" i="2" s="1"/>
  <c r="I7" i="2" s="1"/>
  <c r="C8" i="2"/>
  <c r="D8" i="2" s="1"/>
  <c r="I8" i="2"/>
  <c r="J2" i="2"/>
  <c r="I3" i="2"/>
  <c r="I6" i="2"/>
  <c r="I4" i="2"/>
</calcChain>
</file>

<file path=xl/sharedStrings.xml><?xml version="1.0" encoding="utf-8"?>
<sst xmlns="http://schemas.openxmlformats.org/spreadsheetml/2006/main" count="78" uniqueCount="35">
  <si>
    <t xml:space="preserve">Big shunt </t>
  </si>
  <si>
    <t xml:space="preserve">small shunt </t>
  </si>
  <si>
    <t>nom mv</t>
  </si>
  <si>
    <t>nom A</t>
  </si>
  <si>
    <t>Measurement (mV)</t>
  </si>
  <si>
    <t>condition Vin</t>
  </si>
  <si>
    <t>R_shunt_nom (mOhm) = mV/A</t>
  </si>
  <si>
    <t>R_small/R_big</t>
  </si>
  <si>
    <t>Mean AVG</t>
  </si>
  <si>
    <t>let's suppose that R_big is correct and correct R_small</t>
  </si>
  <si>
    <t xml:space="preserve">Vin (v) </t>
  </si>
  <si>
    <t>V_shunt_inp(mV)</t>
  </si>
  <si>
    <t xml:space="preserve">Vout (v) </t>
  </si>
  <si>
    <t>V_shunt_out(mV)</t>
  </si>
  <si>
    <t>I_inp</t>
  </si>
  <si>
    <t>I_out (A)</t>
  </si>
  <si>
    <t>Pinp</t>
  </si>
  <si>
    <t>Pout</t>
  </si>
  <si>
    <t>Eff</t>
  </si>
  <si>
    <t>rout</t>
  </si>
  <si>
    <t xml:space="preserve">the resistor was 2 ohm at low current </t>
  </si>
  <si>
    <t xml:space="preserve">2 resistor </t>
  </si>
  <si>
    <t>2 resistor in the output</t>
  </si>
  <si>
    <t>I (A)</t>
  </si>
  <si>
    <t>v = ri ==&gt; i = v/r</t>
  </si>
  <si>
    <t>Second</t>
  </si>
  <si>
    <t>Prim</t>
  </si>
  <si>
    <t>Pout (W)</t>
  </si>
  <si>
    <t>mV</t>
  </si>
  <si>
    <t>Estimate Res</t>
  </si>
  <si>
    <t>Estimate A</t>
  </si>
  <si>
    <t xml:space="preserve">suppose that primary shunt is accurate </t>
  </si>
  <si>
    <t xml:space="preserve">suppose that secondary shunt is accurate </t>
  </si>
  <si>
    <t>Loss</t>
  </si>
  <si>
    <t>Pin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</si>
</sst>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Efficiency!$I$1</c:f>
              <c:strCache>
                <c:ptCount val="1"/>
                <c:pt idx="0">
                  <c:v>Eff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Efficiency!$H$2:$H$26</c:f>
              <c:numCache>
                <c:formatCode>General</c:formatCode>
                <c:ptCount val="25"/>
                <c:pt idx="0">
                  <c:v>78.083950000000002</c:v>
                </c:pt>
                <c:pt idx="1">
                  <c:v>169.03809999999999</c:v>
                </c:pt>
                <c:pt idx="2">
                  <c:v>244.3134</c:v>
                </c:pt>
                <c:pt idx="3">
                  <c:v>258.65359999999998</c:v>
                </c:pt>
                <c:pt idx="4">
                  <c:v>327.51675</c:v>
                </c:pt>
                <c:pt idx="5">
                  <c:v>409.68029999999999</c:v>
                </c:pt>
                <c:pt idx="6">
                  <c:v>1003.86</c:v>
                </c:pt>
              </c:numCache>
            </c:numRef>
          </c:xVal>
          <c:yVal>
            <c:numRef>
              <c:f>Efficiency!$I$2:$I$26</c:f>
              <c:numCache>
                <c:formatCode>General</c:formatCode>
                <c:ptCount val="25"/>
                <c:pt idx="0">
                  <c:v>0.58370271501067561</c:v>
                </c:pt>
                <c:pt idx="1">
                  <c:v>0.7510994249989883</c:v>
                </c:pt>
                <c:pt idx="2">
                  <c:v>0.80455008665567962</c:v>
                </c:pt>
                <c:pt idx="3">
                  <c:v>0.8098145897307294</c:v>
                </c:pt>
                <c:pt idx="4">
                  <c:v>0.8395744531515279</c:v>
                </c:pt>
                <c:pt idx="5">
                  <c:v>0.85979345679816732</c:v>
                </c:pt>
                <c:pt idx="6">
                  <c:v>0.88165524076127466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3F-4DF4-BF94-536DEE62AE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4374271"/>
        <c:axId val="1214370911"/>
      </c:scatterChart>
      <c:valAx>
        <c:axId val="1214374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370911"/>
        <c:crosses val="autoZero"/>
        <c:crossBetween val="midCat"/>
      </c:valAx>
      <c:valAx>
        <c:axId val="1214370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3742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Efficiency_Rnom!$I$1</c:f>
              <c:strCache>
                <c:ptCount val="1"/>
                <c:pt idx="0">
                  <c:v>Eff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Efficiency_Rnom!$H$2:$H$26</c:f>
              <c:numCache>
                <c:formatCode>General</c:formatCode>
                <c:ptCount val="25"/>
                <c:pt idx="0">
                  <c:v>78.083950000000002</c:v>
                </c:pt>
                <c:pt idx="1">
                  <c:v>169.03809999999999</c:v>
                </c:pt>
                <c:pt idx="2">
                  <c:v>244.3134</c:v>
                </c:pt>
                <c:pt idx="3">
                  <c:v>258.65359999999998</c:v>
                </c:pt>
                <c:pt idx="4">
                  <c:v>327.51675</c:v>
                </c:pt>
                <c:pt idx="5">
                  <c:v>409.68029999999999</c:v>
                </c:pt>
                <c:pt idx="6">
                  <c:v>1003.86</c:v>
                </c:pt>
              </c:numCache>
            </c:numRef>
          </c:xVal>
          <c:yVal>
            <c:numRef>
              <c:f>Efficiency_Rnom!$I$2:$I$26</c:f>
              <c:numCache>
                <c:formatCode>General</c:formatCode>
                <c:ptCount val="25"/>
                <c:pt idx="0">
                  <c:v>0.60404701859702337</c:v>
                </c:pt>
                <c:pt idx="1">
                  <c:v>0.7772781531987214</c:v>
                </c:pt>
                <c:pt idx="2">
                  <c:v>0.83259177772961301</c:v>
                </c:pt>
                <c:pt idx="3">
                  <c:v>0.83803976915590017</c:v>
                </c:pt>
                <c:pt idx="4">
                  <c:v>0.86883687924448227</c:v>
                </c:pt>
                <c:pt idx="5">
                  <c:v>0.88976059359028825</c:v>
                </c:pt>
                <c:pt idx="6">
                  <c:v>0.91238434551833203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F0-4B7D-95F8-00C44F23CE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4374271"/>
        <c:axId val="1214370911"/>
      </c:scatterChart>
      <c:valAx>
        <c:axId val="1214374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370911"/>
        <c:crosses val="autoZero"/>
        <c:crossBetween val="midCat"/>
      </c:valAx>
      <c:valAx>
        <c:axId val="1214370911"/>
        <c:scaling>
          <c:orientation val="minMax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3742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'Efficiency_Rnom (2)'!$I$1</c:f>
              <c:strCache>
                <c:ptCount val="1"/>
                <c:pt idx="0">
                  <c:v>Eff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'Efficiency_Rnom (2)'!$H$2:$H$26</c:f>
              <c:numCache>
                <c:formatCode>General</c:formatCode>
                <c:ptCount val="25"/>
                <c:pt idx="0">
                  <c:v>82.193631578947375</c:v>
                </c:pt>
                <c:pt idx="1">
                  <c:v>169.03809999999999</c:v>
                </c:pt>
                <c:pt idx="2">
                  <c:v>244.3134</c:v>
                </c:pt>
                <c:pt idx="3">
                  <c:v>258.65359999999998</c:v>
                </c:pt>
                <c:pt idx="4">
                  <c:v>327.51675</c:v>
                </c:pt>
                <c:pt idx="5">
                  <c:v>409.68029999999999</c:v>
                </c:pt>
                <c:pt idx="6">
                  <c:v>1003.86</c:v>
                </c:pt>
              </c:numCache>
            </c:numRef>
          </c:xVal>
          <c:yVal>
            <c:numRef>
              <c:f>'Efficiency_Rnom (2)'!$I$2:$I$26</c:f>
              <c:numCache>
                <c:formatCode>General</c:formatCode>
                <c:ptCount val="25"/>
                <c:pt idx="0">
                  <c:v>0.63583896694423514</c:v>
                </c:pt>
                <c:pt idx="1">
                  <c:v>0.7772781531987214</c:v>
                </c:pt>
                <c:pt idx="2">
                  <c:v>0.83259177772961301</c:v>
                </c:pt>
                <c:pt idx="3">
                  <c:v>0.83803976915590017</c:v>
                </c:pt>
                <c:pt idx="4">
                  <c:v>0.86883687924448227</c:v>
                </c:pt>
                <c:pt idx="5">
                  <c:v>0.88976059359028825</c:v>
                </c:pt>
                <c:pt idx="6">
                  <c:v>0.91238434551833203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DC-4CE0-A2CF-C5D9D44DC1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4374271"/>
        <c:axId val="1214370911"/>
      </c:scatterChart>
      <c:valAx>
        <c:axId val="1214374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370911"/>
        <c:crosses val="autoZero"/>
        <c:crossBetween val="midCat"/>
      </c:valAx>
      <c:valAx>
        <c:axId val="1214370911"/>
        <c:scaling>
          <c:orientation val="minMax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3742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327660</xdr:colOff>
      <xdr:row>4</xdr:row>
      <xdr:rowOff>34290</xdr:rowOff>
    </xdr:from>
    <xdr:to>
      <xdr:col>22</xdr:col>
      <xdr:colOff>22860</xdr:colOff>
      <xdr:row>19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C0769F-A4B6-5E30-A5D0-E9DBDE9B4A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228600</xdr:colOff>
      <xdr:row>5</xdr:row>
      <xdr:rowOff>34290</xdr:rowOff>
    </xdr:from>
    <xdr:to>
      <xdr:col>19</xdr:col>
      <xdr:colOff>533400</xdr:colOff>
      <xdr:row>20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EB075E-A3E6-42D2-AF7E-4A82DA2563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198120</xdr:colOff>
      <xdr:row>12</xdr:row>
      <xdr:rowOff>118110</xdr:rowOff>
    </xdr:from>
    <xdr:to>
      <xdr:col>10</xdr:col>
      <xdr:colOff>594360</xdr:colOff>
      <xdr:row>27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E15FAD-F5EF-4ECD-8E87-68AE07B0D3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V23"/>
  <sheetViews>
    <sheetView workbookViewId="0">
      <selection activeCell="P23" sqref="L2:P23"/>
    </sheetView>
  </sheetViews>
  <sheetFormatPr defaultRowHeight="14.4" x14ac:dyDescent="0.3"/>
  <cols>
    <col min="1" max="1" width="26.109375" bestFit="1" customWidth="1"/>
    <col min="3" max="3" width="10.5546875" bestFit="1" customWidth="1"/>
    <col min="4" max="4" width="11.6640625" bestFit="1" customWidth="1"/>
    <col min="5" max="5" width="12.5546875" bestFit="1" customWidth="1"/>
  </cols>
  <sheetData>
    <row r="2" spans="1:22" x14ac:dyDescent="0.3">
      <c r="B2" t="s">
        <v>0</v>
      </c>
      <c r="C2" t="s">
        <v>1</v>
      </c>
      <c r="E2" t="s">
        <v>7</v>
      </c>
      <c r="L2" s="2" t="s">
        <v>32</v>
      </c>
      <c r="M2" s="2"/>
      <c r="N2" s="2"/>
      <c r="O2" s="2"/>
      <c r="P2" s="2"/>
    </row>
    <row r="3" spans="1:22" x14ac:dyDescent="0.3">
      <c r="A3" t="s">
        <v>2</v>
      </c>
      <c r="B3">
        <v>100</v>
      </c>
      <c r="C3">
        <v>50</v>
      </c>
      <c r="L3" s="2"/>
      <c r="M3" s="2" t="s">
        <v>0</v>
      </c>
      <c r="N3" s="2" t="s">
        <v>23</v>
      </c>
      <c r="O3" s="2" t="s">
        <v>1</v>
      </c>
      <c r="P3" s="2"/>
    </row>
    <row r="4" spans="1:22" x14ac:dyDescent="0.3">
      <c r="A4" t="s">
        <v>3</v>
      </c>
      <c r="B4">
        <v>50</v>
      </c>
      <c r="C4">
        <v>20</v>
      </c>
      <c r="L4" s="2" t="s">
        <v>2</v>
      </c>
      <c r="M4" s="2">
        <v>100</v>
      </c>
      <c r="N4" s="2"/>
      <c r="O4" s="2">
        <v>50</v>
      </c>
      <c r="P4" s="2"/>
    </row>
    <row r="5" spans="1:22" x14ac:dyDescent="0.3">
      <c r="A5" t="s">
        <v>6</v>
      </c>
      <c r="B5">
        <f>+B3/B4</f>
        <v>2</v>
      </c>
      <c r="C5">
        <f>+C3/C4</f>
        <v>2.5</v>
      </c>
      <c r="E5">
        <f>+C5/B5</f>
        <v>1.25</v>
      </c>
      <c r="H5">
        <v>2.5</v>
      </c>
      <c r="I5">
        <v>2</v>
      </c>
      <c r="J5">
        <f>+H5/I5</f>
        <v>1.25</v>
      </c>
      <c r="L5" s="2" t="s">
        <v>3</v>
      </c>
      <c r="M5" s="2">
        <v>50</v>
      </c>
      <c r="N5" s="2"/>
      <c r="O5" s="2">
        <v>20</v>
      </c>
      <c r="P5" s="2"/>
    </row>
    <row r="6" spans="1:22" x14ac:dyDescent="0.3">
      <c r="H6">
        <v>2.5</v>
      </c>
      <c r="I6">
        <v>1.9</v>
      </c>
      <c r="J6">
        <f>+H6/I6</f>
        <v>1.3157894736842106</v>
      </c>
      <c r="L6" s="2" t="s">
        <v>6</v>
      </c>
      <c r="M6" s="2">
        <f>+M4/M5</f>
        <v>2</v>
      </c>
      <c r="N6" s="2"/>
      <c r="O6" s="2">
        <f>+O4/O5</f>
        <v>2.5</v>
      </c>
      <c r="P6" s="2"/>
    </row>
    <row r="7" spans="1:22" x14ac:dyDescent="0.3">
      <c r="A7" t="s">
        <v>4</v>
      </c>
      <c r="D7" t="s">
        <v>5</v>
      </c>
      <c r="L7" s="2"/>
      <c r="M7" s="2"/>
      <c r="N7" s="2"/>
      <c r="O7" s="2"/>
      <c r="P7" s="2"/>
    </row>
    <row r="8" spans="1:22" x14ac:dyDescent="0.3">
      <c r="B8">
        <v>9.81</v>
      </c>
      <c r="C8">
        <v>11.85</v>
      </c>
      <c r="D8">
        <v>15.4</v>
      </c>
      <c r="E8">
        <f>+C8/B8</f>
        <v>1.2079510703363914</v>
      </c>
      <c r="L8" s="2" t="s">
        <v>4</v>
      </c>
      <c r="M8" s="2" t="s">
        <v>28</v>
      </c>
      <c r="N8" s="2" t="s">
        <v>30</v>
      </c>
      <c r="O8" s="2" t="s">
        <v>29</v>
      </c>
      <c r="P8" s="2" t="s">
        <v>28</v>
      </c>
    </row>
    <row r="9" spans="1:22" x14ac:dyDescent="0.3">
      <c r="B9">
        <v>9.7899999999999991</v>
      </c>
      <c r="C9">
        <v>11.84</v>
      </c>
      <c r="D9">
        <v>15.4</v>
      </c>
      <c r="E9">
        <f t="shared" ref="E9:E10" si="0">+C9/B9</f>
        <v>1.2093973442288051</v>
      </c>
      <c r="L9" s="2"/>
      <c r="M9" s="2">
        <v>9.81</v>
      </c>
      <c r="N9" s="2">
        <f>+M9/2</f>
        <v>4.9050000000000002</v>
      </c>
      <c r="O9" s="2">
        <v>11.85</v>
      </c>
      <c r="P9" s="3">
        <f>+O9/N9</f>
        <v>2.4159021406727827</v>
      </c>
    </row>
    <row r="10" spans="1:22" x14ac:dyDescent="0.3">
      <c r="B10">
        <v>7.89</v>
      </c>
      <c r="C10">
        <v>9.56</v>
      </c>
      <c r="D10">
        <v>10.33</v>
      </c>
      <c r="E10">
        <f t="shared" si="0"/>
        <v>1.2116603295310522</v>
      </c>
      <c r="L10" s="2"/>
      <c r="M10" s="2">
        <v>9.7899999999999991</v>
      </c>
      <c r="N10" s="2">
        <f t="shared" ref="N10:N11" si="1">+M10/2</f>
        <v>4.8949999999999996</v>
      </c>
      <c r="O10" s="2">
        <v>11.84</v>
      </c>
      <c r="P10" s="3">
        <f t="shared" ref="P10:P11" si="2">+O10/N10</f>
        <v>2.4187946884576101</v>
      </c>
    </row>
    <row r="11" spans="1:22" x14ac:dyDescent="0.3">
      <c r="D11" t="s">
        <v>8</v>
      </c>
      <c r="E11" s="1">
        <f>AVERAGE(E8:E10)</f>
        <v>1.2096695813654161</v>
      </c>
      <c r="L11" s="2"/>
      <c r="M11" s="2">
        <v>7.89</v>
      </c>
      <c r="N11" s="2">
        <f t="shared" si="1"/>
        <v>3.9449999999999998</v>
      </c>
      <c r="O11" s="2">
        <v>9.56</v>
      </c>
      <c r="P11" s="3">
        <f t="shared" si="2"/>
        <v>2.4233206590621044</v>
      </c>
    </row>
    <row r="12" spans="1:22" x14ac:dyDescent="0.3">
      <c r="L12" s="2"/>
      <c r="M12" s="2"/>
      <c r="N12" s="2"/>
      <c r="O12" s="2"/>
      <c r="P12" s="2"/>
      <c r="R12" s="2"/>
      <c r="S12" s="2"/>
      <c r="T12" s="2"/>
      <c r="U12" s="2"/>
      <c r="V12" s="2"/>
    </row>
    <row r="13" spans="1:22" x14ac:dyDescent="0.3">
      <c r="B13" t="s">
        <v>9</v>
      </c>
      <c r="L13" s="2" t="s">
        <v>31</v>
      </c>
      <c r="M13" s="2"/>
      <c r="N13" s="2"/>
      <c r="O13" s="2"/>
      <c r="P13" s="2"/>
      <c r="R13" s="2"/>
      <c r="S13" s="2"/>
      <c r="T13" s="2"/>
      <c r="U13" s="2"/>
      <c r="V13" s="2"/>
    </row>
    <row r="14" spans="1:22" x14ac:dyDescent="0.3">
      <c r="B14">
        <f>+B5</f>
        <v>2</v>
      </c>
      <c r="C14">
        <f>+B14*E11</f>
        <v>2.4193391627308323</v>
      </c>
      <c r="F14">
        <v>2.5</v>
      </c>
      <c r="G14">
        <f>+F14/E11</f>
        <v>2.0666800575229161</v>
      </c>
      <c r="L14" s="2"/>
      <c r="M14" s="2" t="s">
        <v>25</v>
      </c>
      <c r="N14" s="2"/>
      <c r="O14" s="2" t="s">
        <v>26</v>
      </c>
      <c r="P14" s="2"/>
      <c r="R14" s="2"/>
      <c r="S14" s="2"/>
      <c r="T14" s="2"/>
      <c r="U14" s="2"/>
      <c r="V14" s="2"/>
    </row>
    <row r="15" spans="1:22" x14ac:dyDescent="0.3">
      <c r="L15" s="2"/>
      <c r="M15" s="2" t="s">
        <v>0</v>
      </c>
      <c r="N15" s="2" t="s">
        <v>23</v>
      </c>
      <c r="O15" s="2" t="s">
        <v>1</v>
      </c>
      <c r="P15" s="2" t="s">
        <v>23</v>
      </c>
      <c r="R15" s="2"/>
      <c r="S15" s="2"/>
      <c r="T15" s="2"/>
      <c r="U15" s="2"/>
      <c r="V15" s="2"/>
    </row>
    <row r="16" spans="1:22" x14ac:dyDescent="0.3">
      <c r="L16" s="2" t="s">
        <v>2</v>
      </c>
      <c r="M16" s="2">
        <v>100</v>
      </c>
      <c r="N16" s="2"/>
      <c r="O16" s="2">
        <v>50</v>
      </c>
      <c r="P16" s="2"/>
      <c r="R16" s="2"/>
      <c r="S16" s="2" t="s">
        <v>24</v>
      </c>
      <c r="T16" s="2"/>
      <c r="U16" s="2"/>
      <c r="V16" s="2"/>
    </row>
    <row r="17" spans="1:16" x14ac:dyDescent="0.3">
      <c r="A17" t="s">
        <v>22</v>
      </c>
      <c r="B17">
        <v>40.93</v>
      </c>
      <c r="C17">
        <v>49.44</v>
      </c>
      <c r="E17">
        <f>+C17/B17</f>
        <v>1.2079159540679207</v>
      </c>
      <c r="L17" s="2" t="s">
        <v>3</v>
      </c>
      <c r="M17" s="2">
        <v>50</v>
      </c>
      <c r="N17" s="2"/>
      <c r="O17" s="2">
        <v>20</v>
      </c>
      <c r="P17" s="2"/>
    </row>
    <row r="18" spans="1:16" x14ac:dyDescent="0.3">
      <c r="B18" t="s">
        <v>9</v>
      </c>
      <c r="L18" s="2" t="s">
        <v>6</v>
      </c>
      <c r="M18" s="2">
        <f>+M16/M17</f>
        <v>2</v>
      </c>
      <c r="N18" s="2"/>
      <c r="O18" s="2">
        <f>+O16/O17</f>
        <v>2.5</v>
      </c>
      <c r="P18" s="2"/>
    </row>
    <row r="19" spans="1:16" x14ac:dyDescent="0.3">
      <c r="B19">
        <v>2</v>
      </c>
      <c r="C19">
        <f>+B19*E17</f>
        <v>2.4158319081358415</v>
      </c>
      <c r="L19" s="2"/>
      <c r="M19" s="2"/>
      <c r="N19" s="2"/>
      <c r="O19" s="2"/>
      <c r="P19" s="2"/>
    </row>
    <row r="20" spans="1:16" x14ac:dyDescent="0.3">
      <c r="L20" s="2" t="s">
        <v>4</v>
      </c>
      <c r="M20" s="2" t="s">
        <v>28</v>
      </c>
      <c r="N20" s="2" t="s">
        <v>29</v>
      </c>
      <c r="O20" s="2" t="s">
        <v>28</v>
      </c>
      <c r="P20" s="2" t="s">
        <v>30</v>
      </c>
    </row>
    <row r="21" spans="1:16" x14ac:dyDescent="0.3">
      <c r="L21" s="2"/>
      <c r="M21" s="2">
        <v>9.81</v>
      </c>
      <c r="N21" s="3">
        <f>+M21/P21</f>
        <v>2.0696202531645569</v>
      </c>
      <c r="O21" s="2">
        <v>11.85</v>
      </c>
      <c r="P21" s="2">
        <f>+O21/2.5</f>
        <v>4.74</v>
      </c>
    </row>
    <row r="22" spans="1:16" x14ac:dyDescent="0.3">
      <c r="L22" s="2"/>
      <c r="M22" s="2">
        <v>9.7899999999999991</v>
      </c>
      <c r="N22" s="3">
        <f t="shared" ref="N22:N23" si="3">+M22/P22</f>
        <v>2.0671452702702702</v>
      </c>
      <c r="O22" s="2">
        <v>11.84</v>
      </c>
      <c r="P22" s="2">
        <f t="shared" ref="P22:P23" si="4">+O22/2.5</f>
        <v>4.7359999999999998</v>
      </c>
    </row>
    <row r="23" spans="1:16" x14ac:dyDescent="0.3">
      <c r="L23" s="2"/>
      <c r="M23" s="2">
        <v>7.89</v>
      </c>
      <c r="N23" s="3">
        <f t="shared" si="3"/>
        <v>2.0632845188284517</v>
      </c>
      <c r="O23" s="2">
        <v>9.56</v>
      </c>
      <c r="P23" s="2">
        <f t="shared" si="4"/>
        <v>3.8240000000000003</v>
      </c>
    </row>
  </sheetData>
  <pageMargins left="0.7" right="0.7" top="0.75" bottom="0.75" header="0.3" footer="0.3"/>
  <pageSetup paperSize="9" orientation="portrait" r:id="rId1"/>
  <headerFooter>
    <oddFooter>&amp;R_x000D_&amp;1#&amp;"Arial"&amp;10&amp;K000000 Confidential C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5A840-B20C-4291-A5D1-836D2958419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879C0-BF70-46F1-9C18-E988F1651B2B}">
  <dimension ref="A1:M21"/>
  <sheetViews>
    <sheetView tabSelected="1" topLeftCell="B1" workbookViewId="0">
      <selection activeCell="M8" sqref="M8"/>
    </sheetView>
  </sheetViews>
  <sheetFormatPr defaultRowHeight="14.4" x14ac:dyDescent="0.3"/>
  <cols>
    <col min="1" max="1" width="6.44140625" bestFit="1" customWidth="1"/>
    <col min="2" max="2" width="14.88671875" bestFit="1" customWidth="1"/>
    <col min="3" max="4" width="12" bestFit="1" customWidth="1"/>
    <col min="5" max="5" width="7.77734375" bestFit="1" customWidth="1"/>
    <col min="6" max="6" width="15.21875" bestFit="1" customWidth="1"/>
    <col min="7" max="7" width="8" bestFit="1" customWidth="1"/>
    <col min="8" max="8" width="9" bestFit="1" customWidth="1"/>
    <col min="9" max="9" width="12" bestFit="1" customWidth="1"/>
  </cols>
  <sheetData>
    <row r="1" spans="1:13" x14ac:dyDescent="0.3">
      <c r="A1" t="s">
        <v>10</v>
      </c>
      <c r="B1" t="s">
        <v>11</v>
      </c>
      <c r="C1" t="s">
        <v>14</v>
      </c>
      <c r="D1" t="s">
        <v>16</v>
      </c>
      <c r="E1" t="s">
        <v>12</v>
      </c>
      <c r="F1" t="s">
        <v>13</v>
      </c>
      <c r="G1" t="s">
        <v>15</v>
      </c>
      <c r="H1" t="s">
        <v>17</v>
      </c>
      <c r="I1" t="s">
        <v>18</v>
      </c>
      <c r="J1" t="s">
        <v>19</v>
      </c>
      <c r="L1" t="s">
        <v>34</v>
      </c>
      <c r="M1" t="s">
        <v>33</v>
      </c>
    </row>
    <row r="2" spans="1:13" x14ac:dyDescent="0.3">
      <c r="A2">
        <v>380.2</v>
      </c>
      <c r="B2">
        <v>0.85</v>
      </c>
      <c r="C2">
        <f>+B2/C$16</f>
        <v>0.35185031873499462</v>
      </c>
      <c r="D2">
        <f t="shared" ref="D2:D8" si="0">+C2*A2</f>
        <v>133.77349118304494</v>
      </c>
      <c r="E2">
        <v>45.53</v>
      </c>
      <c r="F2">
        <v>3.43</v>
      </c>
      <c r="G2">
        <f t="shared" ref="G2:G8" si="1">+F2/2</f>
        <v>1.7150000000000001</v>
      </c>
      <c r="H2">
        <f t="shared" ref="H2:H8" si="2">+G2*E2</f>
        <v>78.083950000000002</v>
      </c>
      <c r="I2">
        <f t="shared" ref="I2:I8" si="3">+H2/D2</f>
        <v>0.58370271501067561</v>
      </c>
      <c r="J2">
        <f>+E2/G2</f>
        <v>26.548104956268222</v>
      </c>
      <c r="L2">
        <f>+D2</f>
        <v>133.77349118304494</v>
      </c>
      <c r="M2">
        <f>+D2-H2</f>
        <v>55.689541183044938</v>
      </c>
    </row>
    <row r="3" spans="1:13" x14ac:dyDescent="0.3">
      <c r="A3">
        <v>380.2</v>
      </c>
      <c r="B3">
        <v>1.43</v>
      </c>
      <c r="C3">
        <f t="shared" ref="C3:C8" si="4">+B3/C$16</f>
        <v>0.59193641857769685</v>
      </c>
      <c r="D3">
        <f t="shared" si="0"/>
        <v>225.05422634324034</v>
      </c>
      <c r="E3">
        <v>44.66</v>
      </c>
      <c r="F3">
        <v>7.57</v>
      </c>
      <c r="G3">
        <f t="shared" si="1"/>
        <v>3.7850000000000001</v>
      </c>
      <c r="H3">
        <f t="shared" si="2"/>
        <v>169.03809999999999</v>
      </c>
      <c r="I3">
        <f t="shared" si="3"/>
        <v>0.7510994249989883</v>
      </c>
      <c r="J3">
        <f t="shared" ref="J3:J5" si="5">+E3/G3</f>
        <v>11.799207397622192</v>
      </c>
      <c r="L3">
        <f t="shared" ref="L3:L8" si="6">+D3</f>
        <v>225.05422634324034</v>
      </c>
      <c r="M3">
        <f t="shared" ref="M3:M8" si="7">+D3-H3</f>
        <v>56.016126343240359</v>
      </c>
    </row>
    <row r="4" spans="1:13" x14ac:dyDescent="0.3">
      <c r="A4">
        <v>380.1</v>
      </c>
      <c r="B4">
        <v>1.93</v>
      </c>
      <c r="C4">
        <f t="shared" si="4"/>
        <v>0.79890719430416424</v>
      </c>
      <c r="D4">
        <f t="shared" si="0"/>
        <v>303.66462455501284</v>
      </c>
      <c r="E4">
        <v>44.34</v>
      </c>
      <c r="F4">
        <v>11.02</v>
      </c>
      <c r="G4">
        <f t="shared" si="1"/>
        <v>5.51</v>
      </c>
      <c r="H4">
        <f t="shared" si="2"/>
        <v>244.3134</v>
      </c>
      <c r="I4">
        <f t="shared" si="3"/>
        <v>0.80455008665567962</v>
      </c>
      <c r="J4">
        <f t="shared" si="5"/>
        <v>8.0471869328493657</v>
      </c>
      <c r="L4">
        <f t="shared" si="6"/>
        <v>303.66462455501284</v>
      </c>
      <c r="M4">
        <f t="shared" si="7"/>
        <v>59.351224555012834</v>
      </c>
    </row>
    <row r="5" spans="1:13" x14ac:dyDescent="0.3">
      <c r="A5">
        <v>380.1</v>
      </c>
      <c r="B5">
        <v>2.0299999999999998</v>
      </c>
      <c r="C5">
        <f t="shared" si="4"/>
        <v>0.84030134944945767</v>
      </c>
      <c r="D5">
        <f t="shared" si="0"/>
        <v>319.39854292573887</v>
      </c>
      <c r="E5">
        <v>44.29</v>
      </c>
      <c r="F5">
        <v>11.68</v>
      </c>
      <c r="G5">
        <f t="shared" si="1"/>
        <v>5.84</v>
      </c>
      <c r="H5">
        <f t="shared" si="2"/>
        <v>258.65359999999998</v>
      </c>
      <c r="I5">
        <f t="shared" si="3"/>
        <v>0.8098145897307294</v>
      </c>
      <c r="J5">
        <f t="shared" si="5"/>
        <v>7.5839041095890414</v>
      </c>
      <c r="L5">
        <f t="shared" si="6"/>
        <v>319.39854292573887</v>
      </c>
      <c r="M5">
        <f t="shared" si="7"/>
        <v>60.744942925738883</v>
      </c>
    </row>
    <row r="6" spans="1:13" x14ac:dyDescent="0.3">
      <c r="A6">
        <v>380</v>
      </c>
      <c r="B6">
        <v>2.48</v>
      </c>
      <c r="C6">
        <f t="shared" si="4"/>
        <v>1.0265750476032784</v>
      </c>
      <c r="D6">
        <f t="shared" si="0"/>
        <v>390.09851808924583</v>
      </c>
      <c r="E6">
        <v>44.11</v>
      </c>
      <c r="F6">
        <v>14.85</v>
      </c>
      <c r="G6">
        <f t="shared" si="1"/>
        <v>7.4249999999999998</v>
      </c>
      <c r="H6">
        <f t="shared" si="2"/>
        <v>327.51675</v>
      </c>
      <c r="I6">
        <f t="shared" si="3"/>
        <v>0.8395744531515279</v>
      </c>
      <c r="J6">
        <f>+E6/G6</f>
        <v>5.9407407407407407</v>
      </c>
      <c r="K6" t="s">
        <v>20</v>
      </c>
      <c r="L6">
        <f t="shared" si="6"/>
        <v>390.09851808924583</v>
      </c>
      <c r="M6">
        <f t="shared" si="7"/>
        <v>62.581768089245827</v>
      </c>
    </row>
    <row r="7" spans="1:13" x14ac:dyDescent="0.3">
      <c r="A7">
        <v>379.9</v>
      </c>
      <c r="B7">
        <v>3.03</v>
      </c>
      <c r="C7">
        <f t="shared" si="4"/>
        <v>1.2542429009023925</v>
      </c>
      <c r="D7">
        <f t="shared" si="0"/>
        <v>476.48687805281889</v>
      </c>
      <c r="E7">
        <v>43.91</v>
      </c>
      <c r="F7">
        <v>18.66</v>
      </c>
      <c r="G7">
        <f t="shared" si="1"/>
        <v>9.33</v>
      </c>
      <c r="H7">
        <f t="shared" si="2"/>
        <v>409.68029999999999</v>
      </c>
      <c r="I7">
        <f t="shared" si="3"/>
        <v>0.85979345679816732</v>
      </c>
      <c r="J7">
        <f t="shared" ref="J7:J8" si="8">+E7/G7</f>
        <v>4.7063236870310821</v>
      </c>
      <c r="L7">
        <f t="shared" si="6"/>
        <v>476.48687805281889</v>
      </c>
      <c r="M7">
        <f t="shared" si="7"/>
        <v>66.806578052818907</v>
      </c>
    </row>
    <row r="8" spans="1:13" x14ac:dyDescent="0.3">
      <c r="A8">
        <v>379.4</v>
      </c>
      <c r="B8">
        <v>7.25</v>
      </c>
      <c r="C8">
        <f t="shared" si="4"/>
        <v>3.0010762480337778</v>
      </c>
      <c r="D8">
        <f t="shared" si="0"/>
        <v>1138.6083285040152</v>
      </c>
      <c r="E8">
        <v>42.25</v>
      </c>
      <c r="F8">
        <v>47.52</v>
      </c>
      <c r="G8">
        <f t="shared" si="1"/>
        <v>23.76</v>
      </c>
      <c r="H8">
        <f t="shared" si="2"/>
        <v>1003.86</v>
      </c>
      <c r="I8">
        <f t="shared" si="3"/>
        <v>0.88165524076127466</v>
      </c>
      <c r="J8">
        <f t="shared" si="8"/>
        <v>1.7781986531986531</v>
      </c>
      <c r="K8" t="s">
        <v>21</v>
      </c>
      <c r="L8">
        <f t="shared" si="6"/>
        <v>1138.6083285040152</v>
      </c>
      <c r="M8">
        <f t="shared" si="7"/>
        <v>134.74832850401515</v>
      </c>
    </row>
    <row r="16" spans="1:13" x14ac:dyDescent="0.3">
      <c r="C16">
        <f>+C21</f>
        <v>2.4157999999999999</v>
      </c>
    </row>
    <row r="20" spans="3:3" x14ac:dyDescent="0.3">
      <c r="C20">
        <v>2.4192999999999998</v>
      </c>
    </row>
    <row r="21" spans="3:3" x14ac:dyDescent="0.3">
      <c r="C21">
        <v>2.4157999999999999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78AA1-145E-4669-9A2D-48DBA254053A}">
  <dimension ref="A1:K8"/>
  <sheetViews>
    <sheetView workbookViewId="0">
      <selection activeCell="J14" sqref="J14"/>
    </sheetView>
  </sheetViews>
  <sheetFormatPr defaultRowHeight="14.4" x14ac:dyDescent="0.3"/>
  <cols>
    <col min="1" max="1" width="6.44140625" bestFit="1" customWidth="1"/>
    <col min="2" max="2" width="14.88671875" bestFit="1" customWidth="1"/>
    <col min="3" max="4" width="12" bestFit="1" customWidth="1"/>
    <col min="5" max="5" width="7.77734375" bestFit="1" customWidth="1"/>
    <col min="6" max="6" width="15.21875" bestFit="1" customWidth="1"/>
    <col min="7" max="7" width="8" bestFit="1" customWidth="1"/>
    <col min="8" max="8" width="9" bestFit="1" customWidth="1"/>
    <col min="9" max="9" width="12" bestFit="1" customWidth="1"/>
  </cols>
  <sheetData>
    <row r="1" spans="1:11" x14ac:dyDescent="0.3">
      <c r="A1" t="s">
        <v>10</v>
      </c>
      <c r="B1" t="s">
        <v>11</v>
      </c>
      <c r="C1" t="s">
        <v>14</v>
      </c>
      <c r="D1" t="s">
        <v>16</v>
      </c>
      <c r="E1" t="s">
        <v>12</v>
      </c>
      <c r="F1" t="s">
        <v>13</v>
      </c>
      <c r="G1" t="s">
        <v>15</v>
      </c>
      <c r="H1" t="s">
        <v>17</v>
      </c>
      <c r="I1" t="s">
        <v>18</v>
      </c>
      <c r="J1" t="s">
        <v>19</v>
      </c>
    </row>
    <row r="2" spans="1:11" x14ac:dyDescent="0.3">
      <c r="A2">
        <v>380.2</v>
      </c>
      <c r="B2">
        <v>0.85</v>
      </c>
      <c r="C2">
        <f>+B2/2.5</f>
        <v>0.33999999999999997</v>
      </c>
      <c r="D2">
        <f t="shared" ref="D2:D8" si="0">+C2*A2</f>
        <v>129.26799999999997</v>
      </c>
      <c r="E2">
        <v>45.53</v>
      </c>
      <c r="F2">
        <v>3.43</v>
      </c>
      <c r="G2">
        <f t="shared" ref="G2:G8" si="1">+F2/2</f>
        <v>1.7150000000000001</v>
      </c>
      <c r="H2">
        <f t="shared" ref="H2:H8" si="2">+G2*E2</f>
        <v>78.083950000000002</v>
      </c>
      <c r="I2">
        <f t="shared" ref="I2:I8" si="3">+H2/D2</f>
        <v>0.60404701859702337</v>
      </c>
      <c r="J2">
        <f>+E2/G2</f>
        <v>26.548104956268222</v>
      </c>
    </row>
    <row r="3" spans="1:11" x14ac:dyDescent="0.3">
      <c r="A3">
        <v>380.2</v>
      </c>
      <c r="B3">
        <v>1.43</v>
      </c>
      <c r="C3">
        <f t="shared" ref="C3:C8" si="4">+B3/2.5</f>
        <v>0.57199999999999995</v>
      </c>
      <c r="D3">
        <f t="shared" si="0"/>
        <v>217.47439999999997</v>
      </c>
      <c r="E3">
        <v>44.66</v>
      </c>
      <c r="F3">
        <v>7.57</v>
      </c>
      <c r="G3">
        <f t="shared" si="1"/>
        <v>3.7850000000000001</v>
      </c>
      <c r="H3">
        <f t="shared" si="2"/>
        <v>169.03809999999999</v>
      </c>
      <c r="I3">
        <f t="shared" si="3"/>
        <v>0.7772781531987214</v>
      </c>
      <c r="J3">
        <f t="shared" ref="J3:J5" si="5">+E3/G3</f>
        <v>11.799207397622192</v>
      </c>
    </row>
    <row r="4" spans="1:11" x14ac:dyDescent="0.3">
      <c r="A4">
        <v>380.1</v>
      </c>
      <c r="B4">
        <v>1.93</v>
      </c>
      <c r="C4">
        <f t="shared" si="4"/>
        <v>0.77200000000000002</v>
      </c>
      <c r="D4">
        <f t="shared" si="0"/>
        <v>293.43720000000002</v>
      </c>
      <c r="E4">
        <v>44.34</v>
      </c>
      <c r="F4">
        <v>11.02</v>
      </c>
      <c r="G4">
        <f t="shared" si="1"/>
        <v>5.51</v>
      </c>
      <c r="H4">
        <f t="shared" si="2"/>
        <v>244.3134</v>
      </c>
      <c r="I4">
        <f t="shared" si="3"/>
        <v>0.83259177772961301</v>
      </c>
      <c r="J4">
        <f t="shared" si="5"/>
        <v>8.0471869328493657</v>
      </c>
    </row>
    <row r="5" spans="1:11" x14ac:dyDescent="0.3">
      <c r="A5">
        <v>380.1</v>
      </c>
      <c r="B5">
        <v>2.0299999999999998</v>
      </c>
      <c r="C5">
        <f t="shared" si="4"/>
        <v>0.81199999999999994</v>
      </c>
      <c r="D5">
        <f t="shared" si="0"/>
        <v>308.64119999999997</v>
      </c>
      <c r="E5">
        <v>44.29</v>
      </c>
      <c r="F5">
        <v>11.68</v>
      </c>
      <c r="G5">
        <f t="shared" si="1"/>
        <v>5.84</v>
      </c>
      <c r="H5">
        <f t="shared" si="2"/>
        <v>258.65359999999998</v>
      </c>
      <c r="I5">
        <f t="shared" si="3"/>
        <v>0.83803976915590017</v>
      </c>
      <c r="J5">
        <f t="shared" si="5"/>
        <v>7.5839041095890414</v>
      </c>
    </row>
    <row r="6" spans="1:11" x14ac:dyDescent="0.3">
      <c r="A6">
        <v>380</v>
      </c>
      <c r="B6">
        <v>2.48</v>
      </c>
      <c r="C6">
        <f t="shared" si="4"/>
        <v>0.99199999999999999</v>
      </c>
      <c r="D6">
        <f t="shared" si="0"/>
        <v>376.96</v>
      </c>
      <c r="E6">
        <v>44.11</v>
      </c>
      <c r="F6">
        <v>14.85</v>
      </c>
      <c r="G6">
        <f t="shared" si="1"/>
        <v>7.4249999999999998</v>
      </c>
      <c r="H6">
        <f t="shared" si="2"/>
        <v>327.51675</v>
      </c>
      <c r="I6">
        <f t="shared" si="3"/>
        <v>0.86883687924448227</v>
      </c>
      <c r="J6">
        <f>+E6/G6</f>
        <v>5.9407407407407407</v>
      </c>
      <c r="K6" t="s">
        <v>20</v>
      </c>
    </row>
    <row r="7" spans="1:11" x14ac:dyDescent="0.3">
      <c r="A7">
        <v>379.9</v>
      </c>
      <c r="B7">
        <v>3.03</v>
      </c>
      <c r="C7">
        <f t="shared" si="4"/>
        <v>1.212</v>
      </c>
      <c r="D7">
        <f t="shared" si="0"/>
        <v>460.43879999999996</v>
      </c>
      <c r="E7">
        <v>43.91</v>
      </c>
      <c r="F7">
        <v>18.66</v>
      </c>
      <c r="G7">
        <f t="shared" si="1"/>
        <v>9.33</v>
      </c>
      <c r="H7">
        <f t="shared" si="2"/>
        <v>409.68029999999999</v>
      </c>
      <c r="I7">
        <f t="shared" si="3"/>
        <v>0.88976059359028825</v>
      </c>
      <c r="J7">
        <f t="shared" ref="J7:J8" si="6">+E7/G7</f>
        <v>4.7063236870310821</v>
      </c>
    </row>
    <row r="8" spans="1:11" x14ac:dyDescent="0.3">
      <c r="A8">
        <v>379.4</v>
      </c>
      <c r="B8">
        <v>7.25</v>
      </c>
      <c r="C8">
        <f t="shared" si="4"/>
        <v>2.9</v>
      </c>
      <c r="D8">
        <f t="shared" si="0"/>
        <v>1100.26</v>
      </c>
      <c r="E8">
        <v>42.25</v>
      </c>
      <c r="F8">
        <v>47.52</v>
      </c>
      <c r="G8">
        <f t="shared" si="1"/>
        <v>23.76</v>
      </c>
      <c r="H8">
        <f t="shared" si="2"/>
        <v>1003.86</v>
      </c>
      <c r="I8">
        <f t="shared" si="3"/>
        <v>0.91238434551833203</v>
      </c>
      <c r="J8">
        <f t="shared" si="6"/>
        <v>1.7781986531986531</v>
      </c>
      <c r="K8" t="s">
        <v>21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269B4-7762-41F1-9EA8-866F3434DA6C}">
  <dimension ref="A1:K8"/>
  <sheetViews>
    <sheetView workbookViewId="0">
      <selection activeCell="I8" sqref="H1:I8"/>
    </sheetView>
  </sheetViews>
  <sheetFormatPr defaultRowHeight="14.4" x14ac:dyDescent="0.3"/>
  <cols>
    <col min="1" max="1" width="6.44140625" bestFit="1" customWidth="1"/>
    <col min="2" max="2" width="14.88671875" bestFit="1" customWidth="1"/>
    <col min="3" max="4" width="12" bestFit="1" customWidth="1"/>
    <col min="5" max="5" width="7.77734375" bestFit="1" customWidth="1"/>
    <col min="6" max="6" width="15.21875" bestFit="1" customWidth="1"/>
    <col min="7" max="7" width="8" bestFit="1" customWidth="1"/>
    <col min="8" max="8" width="9" bestFit="1" customWidth="1"/>
    <col min="9" max="9" width="12" bestFit="1" customWidth="1"/>
  </cols>
  <sheetData>
    <row r="1" spans="1:11" x14ac:dyDescent="0.3">
      <c r="A1" t="s">
        <v>10</v>
      </c>
      <c r="B1" t="s">
        <v>11</v>
      </c>
      <c r="C1" t="s">
        <v>14</v>
      </c>
      <c r="D1" t="s">
        <v>16</v>
      </c>
      <c r="E1" t="s">
        <v>12</v>
      </c>
      <c r="F1" t="s">
        <v>13</v>
      </c>
      <c r="G1" t="s">
        <v>15</v>
      </c>
      <c r="H1" t="s">
        <v>27</v>
      </c>
      <c r="I1" t="s">
        <v>18</v>
      </c>
      <c r="J1" t="s">
        <v>19</v>
      </c>
    </row>
    <row r="2" spans="1:11" x14ac:dyDescent="0.3">
      <c r="A2">
        <v>380.2</v>
      </c>
      <c r="B2">
        <v>0.85</v>
      </c>
      <c r="C2">
        <f>+B2/2.5</f>
        <v>0.33999999999999997</v>
      </c>
      <c r="D2">
        <f t="shared" ref="D2:D8" si="0">+C2*A2</f>
        <v>129.26799999999997</v>
      </c>
      <c r="E2">
        <v>45.53</v>
      </c>
      <c r="F2">
        <v>3.43</v>
      </c>
      <c r="G2">
        <f>+F2/1.9</f>
        <v>1.8052631578947369</v>
      </c>
      <c r="H2">
        <f t="shared" ref="H2:H8" si="1">+G2*E2</f>
        <v>82.193631578947375</v>
      </c>
      <c r="I2">
        <f t="shared" ref="I2:I8" si="2">+H2/D2</f>
        <v>0.63583896694423514</v>
      </c>
      <c r="J2">
        <f>+E2/G2</f>
        <v>25.220699708454809</v>
      </c>
    </row>
    <row r="3" spans="1:11" x14ac:dyDescent="0.3">
      <c r="A3">
        <v>380.2</v>
      </c>
      <c r="B3">
        <v>1.43</v>
      </c>
      <c r="C3">
        <f t="shared" ref="C3:C8" si="3">+B3/2.5</f>
        <v>0.57199999999999995</v>
      </c>
      <c r="D3">
        <f t="shared" si="0"/>
        <v>217.47439999999997</v>
      </c>
      <c r="E3">
        <v>44.66</v>
      </c>
      <c r="F3">
        <v>7.57</v>
      </c>
      <c r="G3">
        <f t="shared" ref="G3:G8" si="4">+F3/2</f>
        <v>3.7850000000000001</v>
      </c>
      <c r="H3">
        <f t="shared" si="1"/>
        <v>169.03809999999999</v>
      </c>
      <c r="I3">
        <f t="shared" si="2"/>
        <v>0.7772781531987214</v>
      </c>
      <c r="J3">
        <f t="shared" ref="J3:J5" si="5">+E3/G3</f>
        <v>11.799207397622192</v>
      </c>
    </row>
    <row r="4" spans="1:11" x14ac:dyDescent="0.3">
      <c r="A4">
        <v>380.1</v>
      </c>
      <c r="B4">
        <v>1.93</v>
      </c>
      <c r="C4">
        <f t="shared" si="3"/>
        <v>0.77200000000000002</v>
      </c>
      <c r="D4">
        <f t="shared" si="0"/>
        <v>293.43720000000002</v>
      </c>
      <c r="E4">
        <v>44.34</v>
      </c>
      <c r="F4">
        <v>11.02</v>
      </c>
      <c r="G4">
        <f t="shared" si="4"/>
        <v>5.51</v>
      </c>
      <c r="H4">
        <f t="shared" si="1"/>
        <v>244.3134</v>
      </c>
      <c r="I4">
        <f t="shared" si="2"/>
        <v>0.83259177772961301</v>
      </c>
      <c r="J4">
        <f t="shared" si="5"/>
        <v>8.0471869328493657</v>
      </c>
    </row>
    <row r="5" spans="1:11" x14ac:dyDescent="0.3">
      <c r="A5">
        <v>380.1</v>
      </c>
      <c r="B5">
        <v>2.0299999999999998</v>
      </c>
      <c r="C5">
        <f t="shared" si="3"/>
        <v>0.81199999999999994</v>
      </c>
      <c r="D5">
        <f t="shared" si="0"/>
        <v>308.64119999999997</v>
      </c>
      <c r="E5">
        <v>44.29</v>
      </c>
      <c r="F5">
        <v>11.68</v>
      </c>
      <c r="G5">
        <f t="shared" si="4"/>
        <v>5.84</v>
      </c>
      <c r="H5">
        <f t="shared" si="1"/>
        <v>258.65359999999998</v>
      </c>
      <c r="I5">
        <f t="shared" si="2"/>
        <v>0.83803976915590017</v>
      </c>
      <c r="J5">
        <f t="shared" si="5"/>
        <v>7.5839041095890414</v>
      </c>
    </row>
    <row r="6" spans="1:11" x14ac:dyDescent="0.3">
      <c r="A6">
        <v>380</v>
      </c>
      <c r="B6">
        <v>2.48</v>
      </c>
      <c r="C6">
        <f t="shared" si="3"/>
        <v>0.99199999999999999</v>
      </c>
      <c r="D6">
        <f t="shared" si="0"/>
        <v>376.96</v>
      </c>
      <c r="E6">
        <v>44.11</v>
      </c>
      <c r="F6">
        <v>14.85</v>
      </c>
      <c r="G6">
        <f t="shared" si="4"/>
        <v>7.4249999999999998</v>
      </c>
      <c r="H6">
        <f t="shared" si="1"/>
        <v>327.51675</v>
      </c>
      <c r="I6">
        <f t="shared" si="2"/>
        <v>0.86883687924448227</v>
      </c>
      <c r="J6">
        <f>+E6/G6</f>
        <v>5.9407407407407407</v>
      </c>
      <c r="K6" t="s">
        <v>20</v>
      </c>
    </row>
    <row r="7" spans="1:11" x14ac:dyDescent="0.3">
      <c r="A7">
        <v>379.9</v>
      </c>
      <c r="B7">
        <v>3.03</v>
      </c>
      <c r="C7">
        <f t="shared" si="3"/>
        <v>1.212</v>
      </c>
      <c r="D7">
        <f t="shared" si="0"/>
        <v>460.43879999999996</v>
      </c>
      <c r="E7">
        <v>43.91</v>
      </c>
      <c r="F7">
        <v>18.66</v>
      </c>
      <c r="G7">
        <f t="shared" si="4"/>
        <v>9.33</v>
      </c>
      <c r="H7">
        <f t="shared" si="1"/>
        <v>409.68029999999999</v>
      </c>
      <c r="I7">
        <f t="shared" si="2"/>
        <v>0.88976059359028825</v>
      </c>
      <c r="J7">
        <f t="shared" ref="J7:J8" si="6">+E7/G7</f>
        <v>4.7063236870310821</v>
      </c>
    </row>
    <row r="8" spans="1:11" x14ac:dyDescent="0.3">
      <c r="A8">
        <v>379.4</v>
      </c>
      <c r="B8">
        <v>7.25</v>
      </c>
      <c r="C8">
        <f t="shared" si="3"/>
        <v>2.9</v>
      </c>
      <c r="D8">
        <f t="shared" si="0"/>
        <v>1100.26</v>
      </c>
      <c r="E8">
        <v>42.25</v>
      </c>
      <c r="F8">
        <v>47.52</v>
      </c>
      <c r="G8">
        <f t="shared" si="4"/>
        <v>23.76</v>
      </c>
      <c r="H8">
        <f t="shared" si="1"/>
        <v>1003.86</v>
      </c>
      <c r="I8">
        <f t="shared" si="2"/>
        <v>0.91238434551833203</v>
      </c>
      <c r="J8">
        <f t="shared" si="6"/>
        <v>1.7781986531986531</v>
      </c>
      <c r="K8" t="s">
        <v>21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fd1c0902-ed92-4fed-896d-2e7725de02d4}" enabled="1" method="Standard" siteId="{d6b0bbee-7cd9-4d60-bce6-4a67b543e2a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SHUNT CHECK</vt:lpstr>
      <vt:lpstr>Sheet2</vt:lpstr>
      <vt:lpstr>Efficiency</vt:lpstr>
      <vt:lpstr>Efficiency_Rnom</vt:lpstr>
      <vt:lpstr>Efficiency_Rnom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BOUZIANI Abdelaziz (AMPERE)</dc:creator>
  <cp:lastModifiedBy>BOUZIANI Abdelaziz (AMPERE)</cp:lastModifiedBy>
  <dcterms:created xsi:type="dcterms:W3CDTF">2015-06-05T18:17:20Z</dcterms:created>
  <dcterms:modified xsi:type="dcterms:W3CDTF">2026-02-15T11:31:18Z</dcterms:modified>
</cp:coreProperties>
</file>