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hwProtection\"/>
    </mc:Choice>
  </mc:AlternateContent>
  <xr:revisionPtr revIDLastSave="0" documentId="13_ncr:1_{7265B766-5EBA-485E-AEDE-F8707B5AF7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oncdary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6" i="2"/>
  <c r="H14" i="2" s="1"/>
  <c r="E4" i="2"/>
  <c r="G7" i="2"/>
  <c r="E6" i="2"/>
  <c r="H5" i="2" l="1"/>
  <c r="H4" i="2"/>
  <c r="H6" i="2"/>
  <c r="H7" i="2"/>
  <c r="G6" i="1"/>
  <c r="H6" i="1" s="1"/>
  <c r="E14" i="1"/>
  <c r="H12" i="1" s="1"/>
  <c r="E12" i="1"/>
  <c r="H3" i="1"/>
  <c r="H7" i="1"/>
  <c r="E5" i="1"/>
  <c r="H5" i="1" s="1"/>
  <c r="H4" i="1" l="1"/>
</calcChain>
</file>

<file path=xl/sharedStrings.xml><?xml version="1.0" encoding="utf-8"?>
<sst xmlns="http://schemas.openxmlformats.org/spreadsheetml/2006/main" count="37" uniqueCount="15">
  <si>
    <t>Vout</t>
  </si>
  <si>
    <t xml:space="preserve">Ohm </t>
  </si>
  <si>
    <t>Vout (v)</t>
  </si>
  <si>
    <t>V2</t>
  </si>
  <si>
    <t>R1</t>
  </si>
  <si>
    <t>R2</t>
  </si>
  <si>
    <t>RAT</t>
  </si>
  <si>
    <t>Value meas reel (set)</t>
  </si>
  <si>
    <t>125% Vmax</t>
  </si>
  <si>
    <t xml:space="preserve">Vin </t>
  </si>
  <si>
    <t>Vin (v)</t>
  </si>
  <si>
    <t xml:space="preserve">R_parallel </t>
  </si>
  <si>
    <t xml:space="preserve"> </t>
  </si>
  <si>
    <t>new</t>
  </si>
  <si>
    <t>150% Vmax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</si>
</sst>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1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7"/>
  <sheetViews>
    <sheetView workbookViewId="0">
      <selection activeCell="E12" sqref="E12"/>
    </sheetView>
  </sheetViews>
  <sheetFormatPr defaultRowHeight="14.4" x14ac:dyDescent="0.3"/>
  <cols>
    <col min="4" max="4" width="9.5546875" bestFit="1" customWidth="1"/>
    <col min="8" max="8" width="11.5546875" bestFit="1" customWidth="1"/>
  </cols>
  <sheetData>
    <row r="2" spans="3:10" x14ac:dyDescent="0.3">
      <c r="C2" t="s">
        <v>0</v>
      </c>
      <c r="E2" t="s">
        <v>1</v>
      </c>
      <c r="G2" t="s">
        <v>2</v>
      </c>
      <c r="H2" t="s">
        <v>3</v>
      </c>
    </row>
    <row r="3" spans="3:10" x14ac:dyDescent="0.3">
      <c r="D3" t="s">
        <v>4</v>
      </c>
      <c r="E3" s="1">
        <v>56000</v>
      </c>
      <c r="G3">
        <v>42</v>
      </c>
      <c r="H3" s="2">
        <f>+G3*E$5</f>
        <v>1.0956521739130434</v>
      </c>
    </row>
    <row r="4" spans="3:10" x14ac:dyDescent="0.3">
      <c r="D4" t="s">
        <v>5</v>
      </c>
      <c r="E4" s="1">
        <v>1500</v>
      </c>
      <c r="G4">
        <v>48</v>
      </c>
      <c r="H4" s="2">
        <f t="shared" ref="H4:H7" si="0">+G4*E$5</f>
        <v>1.2521739130434781</v>
      </c>
    </row>
    <row r="5" spans="3:10" x14ac:dyDescent="0.3">
      <c r="D5" t="s">
        <v>6</v>
      </c>
      <c r="E5" s="1">
        <f>+E4/(E3+E4)</f>
        <v>2.6086956521739129E-2</v>
      </c>
      <c r="G5">
        <v>54</v>
      </c>
      <c r="H5" s="2">
        <f t="shared" si="0"/>
        <v>1.4086956521739129</v>
      </c>
      <c r="I5" t="s">
        <v>7</v>
      </c>
    </row>
    <row r="6" spans="3:10" x14ac:dyDescent="0.3">
      <c r="F6" t="s">
        <v>14</v>
      </c>
      <c r="G6">
        <f>+G5*1.5</f>
        <v>81</v>
      </c>
      <c r="H6" s="2">
        <f t="shared" si="0"/>
        <v>2.1130434782608694</v>
      </c>
      <c r="I6">
        <v>2.113</v>
      </c>
      <c r="J6" t="s">
        <v>13</v>
      </c>
    </row>
    <row r="7" spans="3:10" x14ac:dyDescent="0.3">
      <c r="G7">
        <v>109</v>
      </c>
      <c r="H7" s="2">
        <f t="shared" si="0"/>
        <v>2.8434782608695652</v>
      </c>
    </row>
    <row r="10" spans="3:10" x14ac:dyDescent="0.3">
      <c r="D10" s="4" t="s">
        <v>11</v>
      </c>
      <c r="E10" s="3">
        <v>4648</v>
      </c>
    </row>
    <row r="11" spans="3:10" x14ac:dyDescent="0.3">
      <c r="C11" t="s">
        <v>0</v>
      </c>
      <c r="E11" t="s">
        <v>1</v>
      </c>
      <c r="G11" t="s">
        <v>2</v>
      </c>
      <c r="H11" t="s">
        <v>3</v>
      </c>
    </row>
    <row r="12" spans="3:10" x14ac:dyDescent="0.3">
      <c r="D12" t="s">
        <v>4</v>
      </c>
      <c r="E12" s="1">
        <f>+E3*E10/(E3+E10)</f>
        <v>4291.7820867959372</v>
      </c>
      <c r="G12">
        <v>9.9600000000000009</v>
      </c>
      <c r="H12" s="2">
        <f>+G12*E14</f>
        <v>2.5795169390195296</v>
      </c>
    </row>
    <row r="13" spans="3:10" x14ac:dyDescent="0.3">
      <c r="D13" t="s">
        <v>5</v>
      </c>
      <c r="E13" s="1">
        <v>1500</v>
      </c>
      <c r="H13" s="2"/>
    </row>
    <row r="14" spans="3:10" x14ac:dyDescent="0.3">
      <c r="D14" t="s">
        <v>6</v>
      </c>
      <c r="E14" s="1">
        <f>+E13/(E12+E13)</f>
        <v>0.25898764447987244</v>
      </c>
      <c r="H14" s="2"/>
    </row>
    <row r="15" spans="3:10" x14ac:dyDescent="0.3">
      <c r="F15" t="s">
        <v>12</v>
      </c>
      <c r="H15" s="2"/>
    </row>
    <row r="16" spans="3:10" x14ac:dyDescent="0.3">
      <c r="H16" s="2"/>
    </row>
    <row r="17" spans="8:8" x14ac:dyDescent="0.3">
      <c r="H17" s="2"/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8BE3-65BD-4314-A86A-AA9F4ADEB43E}">
  <dimension ref="C3:I17"/>
  <sheetViews>
    <sheetView tabSelected="1" workbookViewId="0">
      <selection activeCell="E13" sqref="E13"/>
    </sheetView>
  </sheetViews>
  <sheetFormatPr defaultRowHeight="14.4" x14ac:dyDescent="0.3"/>
  <sheetData>
    <row r="3" spans="3:9" x14ac:dyDescent="0.3">
      <c r="C3" t="s">
        <v>9</v>
      </c>
      <c r="E3" t="s">
        <v>1</v>
      </c>
      <c r="G3" t="s">
        <v>10</v>
      </c>
      <c r="H3" t="s">
        <v>3</v>
      </c>
    </row>
    <row r="4" spans="3:9" x14ac:dyDescent="0.3">
      <c r="D4" t="s">
        <v>4</v>
      </c>
      <c r="E4">
        <f>56000*7</f>
        <v>392000</v>
      </c>
      <c r="G4">
        <v>360</v>
      </c>
      <c r="H4" s="2">
        <f>+G4*E$6</f>
        <v>0.91603053435114512</v>
      </c>
    </row>
    <row r="5" spans="3:9" x14ac:dyDescent="0.3">
      <c r="D5" t="s">
        <v>5</v>
      </c>
      <c r="E5" s="1">
        <v>1000</v>
      </c>
      <c r="G5">
        <v>380</v>
      </c>
      <c r="H5" s="2">
        <f t="shared" ref="H5:H7" si="0">+G5*E$6</f>
        <v>0.96692111959287541</v>
      </c>
    </row>
    <row r="6" spans="3:9" x14ac:dyDescent="0.3">
      <c r="D6" t="s">
        <v>6</v>
      </c>
      <c r="E6" s="1">
        <f>+E5/(E4+E5)</f>
        <v>2.5445292620865142E-3</v>
      </c>
      <c r="G6">
        <v>400</v>
      </c>
      <c r="H6" s="2">
        <f t="shared" si="0"/>
        <v>1.0178117048346056</v>
      </c>
      <c r="I6" t="s">
        <v>7</v>
      </c>
    </row>
    <row r="7" spans="3:9" x14ac:dyDescent="0.3">
      <c r="F7" t="s">
        <v>8</v>
      </c>
      <c r="G7">
        <f>+G6*1.25</f>
        <v>500</v>
      </c>
      <c r="H7" s="2">
        <f t="shared" si="0"/>
        <v>1.272264631043257</v>
      </c>
      <c r="I7">
        <v>1.2749999999999999</v>
      </c>
    </row>
    <row r="12" spans="3:9" x14ac:dyDescent="0.3">
      <c r="D12" s="4" t="s">
        <v>11</v>
      </c>
      <c r="E12" s="3">
        <v>55860</v>
      </c>
    </row>
    <row r="13" spans="3:9" x14ac:dyDescent="0.3">
      <c r="C13" t="s">
        <v>0</v>
      </c>
      <c r="E13" t="s">
        <v>1</v>
      </c>
      <c r="G13" t="s">
        <v>2</v>
      </c>
      <c r="H13" t="s">
        <v>3</v>
      </c>
    </row>
    <row r="14" spans="3:9" x14ac:dyDescent="0.3">
      <c r="D14" t="s">
        <v>4</v>
      </c>
      <c r="E14" s="1">
        <f>+E4*E12/(E4+E12)</f>
        <v>48892.778993435451</v>
      </c>
      <c r="G14">
        <v>81</v>
      </c>
      <c r="H14" s="2">
        <f>+G14*E16</f>
        <v>1.6234814262532344</v>
      </c>
    </row>
    <row r="15" spans="3:9" x14ac:dyDescent="0.3">
      <c r="D15" t="s">
        <v>5</v>
      </c>
      <c r="E15" s="1">
        <v>1000</v>
      </c>
      <c r="H15" s="2"/>
    </row>
    <row r="16" spans="3:9" x14ac:dyDescent="0.3">
      <c r="D16" t="s">
        <v>6</v>
      </c>
      <c r="E16" s="1">
        <f>+E15/(E14+E15)</f>
        <v>2.0042980571027585E-2</v>
      </c>
      <c r="H16" s="2"/>
    </row>
    <row r="17" spans="6:8" x14ac:dyDescent="0.3">
      <c r="F17" t="s">
        <v>12</v>
      </c>
      <c r="H17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Seoncdary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2015-06-05T18:17:20Z</dcterms:created>
  <dcterms:modified xsi:type="dcterms:W3CDTF">2026-02-15T13:16:50Z</dcterms:modified>
</cp:coreProperties>
</file>