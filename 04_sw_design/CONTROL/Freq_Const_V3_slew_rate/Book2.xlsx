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37702\NotSynchronized\git\Design_of_1200W_LLC_DCDC\05_validations\08_EMI\TEST1_FREQ_CONST\Freq_Const_V3_slew_rate\"/>
    </mc:Choice>
  </mc:AlternateContent>
  <xr:revisionPtr revIDLastSave="0" documentId="8_{C8D2E8BB-5553-4AFF-B482-F8B13C795D2C}" xr6:coauthVersionLast="47" xr6:coauthVersionMax="47" xr10:uidLastSave="{00000000-0000-0000-0000-000000000000}"/>
  <bookViews>
    <workbookView xWindow="-108" yWindow="-108" windowWidth="23256" windowHeight="12456" xr2:uid="{311E60FB-2CBB-4E09-9986-214C7DAC8A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D22" i="1"/>
  <c r="D14" i="1"/>
  <c r="D12" i="1"/>
  <c r="D8" i="1"/>
  <c r="D18" i="1"/>
  <c r="D16" i="1"/>
  <c r="D20" i="1" s="1"/>
  <c r="D13" i="1"/>
  <c r="D17" i="1" l="1"/>
  <c r="D21" i="1" s="1"/>
  <c r="D23" i="1" l="1"/>
  <c r="D24" i="1" s="1"/>
  <c r="D25" i="1" s="1"/>
</calcChain>
</file>

<file path=xl/sharedStrings.xml><?xml version="1.0" encoding="utf-8"?>
<sst xmlns="http://schemas.openxmlformats.org/spreadsheetml/2006/main" count="30" uniqueCount="23">
  <si>
    <t>int per = (int)72E3/95;</t>
  </si>
  <si>
    <t>Fmax</t>
  </si>
  <si>
    <t>Fmin</t>
  </si>
  <si>
    <t xml:space="preserve">kHz </t>
  </si>
  <si>
    <t>Fclk</t>
  </si>
  <si>
    <t>Per_max</t>
  </si>
  <si>
    <t>Per_min</t>
  </si>
  <si>
    <t>clk ticks</t>
  </si>
  <si>
    <t>F0</t>
  </si>
  <si>
    <t>%</t>
  </si>
  <si>
    <t xml:space="preserve">Increase of periode by perdiode </t>
  </si>
  <si>
    <t>slew rate</t>
  </si>
  <si>
    <t>s</t>
  </si>
  <si>
    <t>Per_0</t>
  </si>
  <si>
    <t>kHz by second</t>
  </si>
  <si>
    <t>µs</t>
  </si>
  <si>
    <t>kHz by µs</t>
  </si>
  <si>
    <t>clk ticks by µs</t>
  </si>
  <si>
    <t>khz/µs</t>
  </si>
  <si>
    <t>Verif1: Time to go from Per_max to Per_min</t>
  </si>
  <si>
    <t xml:space="preserve">Verif2: Avg slew rate </t>
  </si>
  <si>
    <t>Hz/us</t>
  </si>
  <si>
    <t>diff ( Per_min, Per_max)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</si>
</sst>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2031E-A47A-4BB8-8B0E-5F9D1D5C8504}">
  <dimension ref="C8:H25"/>
  <sheetViews>
    <sheetView tabSelected="1" topLeftCell="A6" workbookViewId="0">
      <selection activeCell="E25" sqref="C8:E25"/>
    </sheetView>
  </sheetViews>
  <sheetFormatPr defaultRowHeight="14.4" x14ac:dyDescent="0.3"/>
  <cols>
    <col min="3" max="3" width="35.44140625" bestFit="1" customWidth="1"/>
    <col min="4" max="4" width="8.5546875" bestFit="1" customWidth="1"/>
  </cols>
  <sheetData>
    <row r="8" spans="3:8" x14ac:dyDescent="0.3">
      <c r="C8" t="s">
        <v>0</v>
      </c>
      <c r="D8">
        <f>72000/95</f>
        <v>757.89473684210532</v>
      </c>
    </row>
    <row r="9" spans="3:8" x14ac:dyDescent="0.3">
      <c r="C9" t="s">
        <v>1</v>
      </c>
      <c r="D9">
        <v>150</v>
      </c>
      <c r="E9" t="s">
        <v>3</v>
      </c>
    </row>
    <row r="10" spans="3:8" x14ac:dyDescent="0.3">
      <c r="C10" t="s">
        <v>2</v>
      </c>
      <c r="D10">
        <v>95</v>
      </c>
      <c r="E10" t="s">
        <v>3</v>
      </c>
    </row>
    <row r="11" spans="3:8" x14ac:dyDescent="0.3">
      <c r="C11" t="s">
        <v>4</v>
      </c>
      <c r="D11" s="2">
        <v>72000</v>
      </c>
      <c r="E11" t="s">
        <v>3</v>
      </c>
    </row>
    <row r="12" spans="3:8" x14ac:dyDescent="0.3">
      <c r="C12" t="s">
        <v>5</v>
      </c>
      <c r="D12" s="2">
        <f>+D11/D9</f>
        <v>480</v>
      </c>
      <c r="E12" t="s">
        <v>7</v>
      </c>
    </row>
    <row r="13" spans="3:8" x14ac:dyDescent="0.3">
      <c r="C13" t="s">
        <v>6</v>
      </c>
      <c r="D13" s="2">
        <f>+D11/D10</f>
        <v>757.89473684210532</v>
      </c>
      <c r="E13" t="s">
        <v>7</v>
      </c>
    </row>
    <row r="14" spans="3:8" x14ac:dyDescent="0.3">
      <c r="C14" t="s">
        <v>22</v>
      </c>
      <c r="D14" s="2">
        <f>+D13-D12</f>
        <v>277.89473684210532</v>
      </c>
      <c r="E14" t="s">
        <v>7</v>
      </c>
    </row>
    <row r="15" spans="3:8" x14ac:dyDescent="0.3">
      <c r="C15" t="s">
        <v>8</v>
      </c>
      <c r="D15" s="2">
        <v>100</v>
      </c>
      <c r="E15" t="s">
        <v>3</v>
      </c>
    </row>
    <row r="16" spans="3:8" x14ac:dyDescent="0.3">
      <c r="C16" t="s">
        <v>13</v>
      </c>
      <c r="D16" s="1">
        <f>0.001/D15</f>
        <v>1.0000000000000001E-5</v>
      </c>
      <c r="E16" t="s">
        <v>12</v>
      </c>
      <c r="H16" s="2"/>
    </row>
    <row r="17" spans="3:7" x14ac:dyDescent="0.3">
      <c r="D17">
        <f>+D16*1000000</f>
        <v>10</v>
      </c>
      <c r="E17" t="s">
        <v>15</v>
      </c>
    </row>
    <row r="18" spans="3:7" x14ac:dyDescent="0.3">
      <c r="D18">
        <f>+D11/D15</f>
        <v>720</v>
      </c>
      <c r="E18" t="s">
        <v>7</v>
      </c>
    </row>
    <row r="19" spans="3:7" x14ac:dyDescent="0.3">
      <c r="C19" t="s">
        <v>10</v>
      </c>
      <c r="D19" s="2">
        <v>1</v>
      </c>
      <c r="E19" t="s">
        <v>9</v>
      </c>
      <c r="F19" s="1"/>
    </row>
    <row r="20" spans="3:7" x14ac:dyDescent="0.3">
      <c r="C20" t="s">
        <v>11</v>
      </c>
      <c r="D20" s="1">
        <f>+D19*0.01*D15/D16</f>
        <v>99999.999999999985</v>
      </c>
      <c r="E20" t="s">
        <v>14</v>
      </c>
    </row>
    <row r="21" spans="3:7" x14ac:dyDescent="0.3">
      <c r="D21">
        <f>+D19*0.01*D15/D17</f>
        <v>0.1</v>
      </c>
      <c r="E21" t="s">
        <v>16</v>
      </c>
    </row>
    <row r="22" spans="3:7" x14ac:dyDescent="0.3">
      <c r="D22">
        <f>+D18*D19*0.01/D17</f>
        <v>0.72</v>
      </c>
      <c r="E22" t="s">
        <v>17</v>
      </c>
      <c r="G22" s="3">
        <f>+D14/D23</f>
        <v>0.72</v>
      </c>
    </row>
    <row r="23" spans="3:7" x14ac:dyDescent="0.3">
      <c r="C23" t="s">
        <v>19</v>
      </c>
      <c r="D23">
        <f>+(D13-D12)/D22</f>
        <v>385.96491228070187</v>
      </c>
      <c r="E23" t="s">
        <v>15</v>
      </c>
    </row>
    <row r="24" spans="3:7" x14ac:dyDescent="0.3">
      <c r="C24" t="s">
        <v>20</v>
      </c>
      <c r="D24">
        <f>+(D9-D10)/ D23</f>
        <v>0.14249999999999996</v>
      </c>
      <c r="E24" t="s">
        <v>18</v>
      </c>
    </row>
    <row r="25" spans="3:7" x14ac:dyDescent="0.3">
      <c r="D25">
        <f>1000*D24</f>
        <v>142.49999999999997</v>
      </c>
      <c r="E25" t="s">
        <v>21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BOUZIANI Abdelaziz (AMPERE)</dc:creator>
  <cp:lastModifiedBy>BOUZIANI Abdelaziz (AMPERE)</cp:lastModifiedBy>
  <dcterms:created xsi:type="dcterms:W3CDTF">2026-02-01T09:09:55Z</dcterms:created>
  <dcterms:modified xsi:type="dcterms:W3CDTF">2026-02-01T12:46:51Z</dcterms:modified>
</cp:coreProperties>
</file>