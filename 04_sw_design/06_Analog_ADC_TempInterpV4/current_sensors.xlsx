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4_sw_design\06_Analog_ADC_TempInterpV4\"/>
    </mc:Choice>
  </mc:AlternateContent>
  <xr:revisionPtr revIDLastSave="0" documentId="8_{FEA306E3-240E-4F6E-9CC9-283BB9BCECEE}" xr6:coauthVersionLast="47" xr6:coauthVersionMax="47" xr10:uidLastSave="{00000000-0000-0000-0000-000000000000}"/>
  <bookViews>
    <workbookView xWindow="-108" yWindow="-108" windowWidth="23256" windowHeight="12456" xr2:uid="{08E6F7BF-6E34-4543-8E0F-4287D9C5A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 s="1"/>
  <c r="C30" i="1" s="1"/>
  <c r="C12" i="1"/>
  <c r="C13" i="1"/>
  <c r="C14" i="1" s="1"/>
  <c r="C22" i="1"/>
  <c r="C24" i="1"/>
  <c r="C21" i="1"/>
  <c r="C8" i="1"/>
  <c r="C5" i="1"/>
  <c r="C7" i="1" s="1"/>
  <c r="C9" i="1" s="1"/>
  <c r="C23" i="1" l="1"/>
  <c r="C25" i="1" s="1"/>
</calcChain>
</file>

<file path=xl/sharedStrings.xml><?xml version="1.0" encoding="utf-8"?>
<sst xmlns="http://schemas.openxmlformats.org/spreadsheetml/2006/main" count="60" uniqueCount="38">
  <si>
    <t>TMCS1107A1U-Q1</t>
  </si>
  <si>
    <t xml:space="preserve"> mV/A</t>
  </si>
  <si>
    <t>Iout</t>
  </si>
  <si>
    <t xml:space="preserve">Nb bits </t>
  </si>
  <si>
    <t>2^bits</t>
  </si>
  <si>
    <t>Vcc</t>
  </si>
  <si>
    <t xml:space="preserve">Coef </t>
  </si>
  <si>
    <t>ADC tick → Volts:</t>
  </si>
  <si>
    <t>Volts → Amps:</t>
  </si>
  <si>
    <t>V/tick</t>
  </si>
  <si>
    <t xml:space="preserve"> V/A</t>
  </si>
  <si>
    <t xml:space="preserve"> A/tick</t>
  </si>
  <si>
    <t>Coef = Ticks → Amps:</t>
  </si>
  <si>
    <t>Iout= Coef * ADC</t>
  </si>
  <si>
    <t xml:space="preserve">Iinp </t>
  </si>
  <si>
    <t>ACS70331EOLCTR-005U3</t>
  </si>
  <si>
    <t>ZERO CURRENT OUTPUT VOLTAGE</t>
  </si>
  <si>
    <t xml:space="preserve">0.1*Vcc </t>
  </si>
  <si>
    <t>dataseet</t>
  </si>
  <si>
    <t>A0</t>
  </si>
  <si>
    <t>A1</t>
  </si>
  <si>
    <t>A2</t>
  </si>
  <si>
    <t>A3</t>
  </si>
  <si>
    <t>A4</t>
  </si>
  <si>
    <t>A5</t>
  </si>
  <si>
    <t>A6</t>
  </si>
  <si>
    <t>A7</t>
  </si>
  <si>
    <t>Measure Avg ADC0</t>
  </si>
  <si>
    <t>I0</t>
  </si>
  <si>
    <t>v0_meas</t>
  </si>
  <si>
    <t>mV</t>
  </si>
  <si>
    <t>c/c  Iout= Coef * (ADC-ADC0)</t>
  </si>
  <si>
    <t>Measurement 28/02/2026</t>
  </si>
  <si>
    <t xml:space="preserve">Vcc </t>
  </si>
  <si>
    <t xml:space="preserve">Iout </t>
  </si>
  <si>
    <t>Iinp</t>
  </si>
  <si>
    <t>??</t>
  </si>
  <si>
    <t>ADC0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</si>
</sst>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FBBE-F524-4871-A4C9-5D5F4A216CDD}">
  <dimension ref="A1:Q55"/>
  <sheetViews>
    <sheetView tabSelected="1" topLeftCell="A18" workbookViewId="0">
      <selection sqref="A1:H39"/>
    </sheetView>
  </sheetViews>
  <sheetFormatPr defaultRowHeight="14.4" x14ac:dyDescent="0.3"/>
  <cols>
    <col min="1" max="1" width="4.21875" bestFit="1" customWidth="1"/>
    <col min="2" max="2" width="28.109375" bestFit="1" customWidth="1"/>
  </cols>
  <sheetData>
    <row r="1" spans="1:17" x14ac:dyDescent="0.3">
      <c r="A1" t="s">
        <v>2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3">
      <c r="J2">
        <v>407</v>
      </c>
      <c r="K2">
        <v>3545</v>
      </c>
      <c r="L2">
        <v>1423</v>
      </c>
      <c r="M2">
        <v>2523</v>
      </c>
      <c r="N2">
        <v>2317</v>
      </c>
      <c r="O2">
        <v>219</v>
      </c>
      <c r="P2">
        <v>2894</v>
      </c>
      <c r="Q2">
        <v>571</v>
      </c>
    </row>
    <row r="3" spans="1:17" x14ac:dyDescent="0.3">
      <c r="B3" t="s">
        <v>0</v>
      </c>
      <c r="C3">
        <v>50</v>
      </c>
      <c r="D3" t="s">
        <v>1</v>
      </c>
      <c r="J3">
        <v>403</v>
      </c>
      <c r="K3">
        <v>3545</v>
      </c>
      <c r="L3">
        <v>1425</v>
      </c>
      <c r="M3">
        <v>2524</v>
      </c>
      <c r="N3">
        <v>2317</v>
      </c>
      <c r="O3">
        <v>222</v>
      </c>
      <c r="P3">
        <v>2895</v>
      </c>
      <c r="Q3">
        <v>571</v>
      </c>
    </row>
    <row r="4" spans="1:17" x14ac:dyDescent="0.3">
      <c r="B4" t="s">
        <v>3</v>
      </c>
      <c r="C4">
        <v>12</v>
      </c>
      <c r="J4">
        <v>408</v>
      </c>
      <c r="K4">
        <v>3547</v>
      </c>
      <c r="L4">
        <v>1425</v>
      </c>
      <c r="M4">
        <v>2523</v>
      </c>
      <c r="N4">
        <v>2317</v>
      </c>
      <c r="O4">
        <v>221</v>
      </c>
      <c r="P4">
        <v>2893</v>
      </c>
      <c r="Q4">
        <v>572</v>
      </c>
    </row>
    <row r="5" spans="1:17" x14ac:dyDescent="0.3">
      <c r="B5" t="s">
        <v>4</v>
      </c>
      <c r="C5">
        <f>2^C4</f>
        <v>4096</v>
      </c>
      <c r="J5">
        <v>417</v>
      </c>
      <c r="K5">
        <v>3549</v>
      </c>
      <c r="L5">
        <v>1425</v>
      </c>
      <c r="M5">
        <v>2522</v>
      </c>
      <c r="N5">
        <v>2316</v>
      </c>
      <c r="O5">
        <v>212</v>
      </c>
      <c r="P5">
        <v>2895</v>
      </c>
      <c r="Q5">
        <v>575</v>
      </c>
    </row>
    <row r="6" spans="1:17" x14ac:dyDescent="0.3">
      <c r="B6" t="s">
        <v>5</v>
      </c>
      <c r="C6">
        <v>3.29</v>
      </c>
      <c r="J6">
        <v>414</v>
      </c>
      <c r="K6">
        <v>3542</v>
      </c>
      <c r="L6">
        <v>1422</v>
      </c>
      <c r="M6">
        <v>2523</v>
      </c>
      <c r="N6">
        <v>2318</v>
      </c>
      <c r="O6">
        <v>214</v>
      </c>
      <c r="P6">
        <v>2895</v>
      </c>
      <c r="Q6">
        <v>570</v>
      </c>
    </row>
    <row r="7" spans="1:17" x14ac:dyDescent="0.3">
      <c r="B7" t="s">
        <v>7</v>
      </c>
      <c r="C7">
        <f>+C6/C5</f>
        <v>8.0322265625000001E-4</v>
      </c>
      <c r="D7" t="s">
        <v>9</v>
      </c>
      <c r="J7">
        <v>410</v>
      </c>
      <c r="K7">
        <v>3543</v>
      </c>
      <c r="L7">
        <v>1421</v>
      </c>
      <c r="M7">
        <v>2521</v>
      </c>
      <c r="N7">
        <v>2316</v>
      </c>
      <c r="O7">
        <v>214</v>
      </c>
      <c r="P7">
        <v>2893</v>
      </c>
      <c r="Q7">
        <v>571</v>
      </c>
    </row>
    <row r="8" spans="1:17" x14ac:dyDescent="0.3">
      <c r="B8" t="s">
        <v>8</v>
      </c>
      <c r="C8">
        <f>+C3/1000</f>
        <v>0.05</v>
      </c>
      <c r="D8" t="s">
        <v>10</v>
      </c>
      <c r="F8" t="s">
        <v>32</v>
      </c>
      <c r="J8">
        <v>396</v>
      </c>
      <c r="K8">
        <v>3543</v>
      </c>
      <c r="L8">
        <v>1422</v>
      </c>
      <c r="M8">
        <v>2523</v>
      </c>
      <c r="N8">
        <v>2318</v>
      </c>
      <c r="O8">
        <v>217</v>
      </c>
      <c r="P8">
        <v>2893</v>
      </c>
      <c r="Q8">
        <v>570</v>
      </c>
    </row>
    <row r="9" spans="1:17" x14ac:dyDescent="0.3">
      <c r="B9" t="s">
        <v>12</v>
      </c>
      <c r="C9">
        <f>+C7/C8</f>
        <v>1.6064453124999999E-2</v>
      </c>
      <c r="D9" t="s">
        <v>11</v>
      </c>
      <c r="F9" t="s">
        <v>33</v>
      </c>
      <c r="G9">
        <v>3.294</v>
      </c>
      <c r="J9">
        <v>407</v>
      </c>
      <c r="K9">
        <v>3545</v>
      </c>
      <c r="L9">
        <v>1423</v>
      </c>
      <c r="M9">
        <v>2523</v>
      </c>
      <c r="N9">
        <v>2318</v>
      </c>
      <c r="O9">
        <v>221</v>
      </c>
      <c r="P9">
        <v>2894</v>
      </c>
      <c r="Q9">
        <v>569</v>
      </c>
    </row>
    <row r="10" spans="1:17" x14ac:dyDescent="0.3">
      <c r="B10" t="s">
        <v>13</v>
      </c>
      <c r="C10">
        <v>1.6063999999999998E-2</v>
      </c>
      <c r="F10" t="s">
        <v>34</v>
      </c>
      <c r="G10">
        <v>0.33</v>
      </c>
      <c r="J10">
        <v>421</v>
      </c>
      <c r="K10">
        <v>3546</v>
      </c>
      <c r="L10">
        <v>1424</v>
      </c>
      <c r="M10">
        <v>2523</v>
      </c>
      <c r="N10">
        <v>2317</v>
      </c>
      <c r="O10">
        <v>216</v>
      </c>
      <c r="P10">
        <v>2894</v>
      </c>
      <c r="Q10">
        <v>571</v>
      </c>
    </row>
    <row r="11" spans="1:17" x14ac:dyDescent="0.3">
      <c r="B11" t="s">
        <v>16</v>
      </c>
      <c r="C11" t="s">
        <v>17</v>
      </c>
      <c r="D11" t="s">
        <v>18</v>
      </c>
      <c r="F11" t="s">
        <v>19</v>
      </c>
      <c r="G11">
        <v>0.33</v>
      </c>
      <c r="J11">
        <v>424</v>
      </c>
      <c r="K11">
        <v>3543</v>
      </c>
      <c r="L11">
        <v>1425</v>
      </c>
      <c r="M11">
        <v>2523</v>
      </c>
      <c r="N11">
        <v>2317</v>
      </c>
      <c r="O11">
        <v>211</v>
      </c>
      <c r="P11">
        <v>2894</v>
      </c>
      <c r="Q11">
        <v>579</v>
      </c>
    </row>
    <row r="12" spans="1:17" x14ac:dyDescent="0.3">
      <c r="B12" t="s">
        <v>27</v>
      </c>
      <c r="C12">
        <f>+AVERAGE(J:J)</f>
        <v>412.03703703703701</v>
      </c>
      <c r="F12" t="s">
        <v>35</v>
      </c>
      <c r="G12">
        <v>0.13100000000000001</v>
      </c>
      <c r="J12">
        <v>404</v>
      </c>
      <c r="K12">
        <v>3545</v>
      </c>
      <c r="L12">
        <v>1424</v>
      </c>
      <c r="M12">
        <v>2522</v>
      </c>
      <c r="N12">
        <v>2319</v>
      </c>
      <c r="O12">
        <v>216</v>
      </c>
      <c r="P12">
        <v>2895</v>
      </c>
      <c r="Q12">
        <v>570</v>
      </c>
    </row>
    <row r="13" spans="1:17" x14ac:dyDescent="0.3">
      <c r="B13" t="s">
        <v>28</v>
      </c>
      <c r="C13">
        <f>+C10*C12</f>
        <v>6.6189629629629616</v>
      </c>
      <c r="F13" t="s">
        <v>24</v>
      </c>
      <c r="G13">
        <v>0.113</v>
      </c>
      <c r="H13" t="s">
        <v>36</v>
      </c>
      <c r="J13">
        <v>406</v>
      </c>
      <c r="K13">
        <v>3544</v>
      </c>
      <c r="L13">
        <v>1422</v>
      </c>
      <c r="M13">
        <v>2521</v>
      </c>
      <c r="N13">
        <v>2316</v>
      </c>
      <c r="O13">
        <v>212</v>
      </c>
      <c r="P13">
        <v>2896</v>
      </c>
      <c r="Q13">
        <v>572</v>
      </c>
    </row>
    <row r="14" spans="1:17" x14ac:dyDescent="0.3">
      <c r="B14" t="s">
        <v>29</v>
      </c>
      <c r="C14">
        <f>+C13*C3</f>
        <v>330.94814814814811</v>
      </c>
      <c r="D14" t="s">
        <v>30</v>
      </c>
      <c r="J14">
        <v>423</v>
      </c>
      <c r="K14">
        <v>3546</v>
      </c>
      <c r="L14">
        <v>1424</v>
      </c>
      <c r="M14">
        <v>2524</v>
      </c>
      <c r="N14">
        <v>2316</v>
      </c>
      <c r="O14">
        <v>214</v>
      </c>
      <c r="P14">
        <v>2895</v>
      </c>
      <c r="Q14">
        <v>571</v>
      </c>
    </row>
    <row r="15" spans="1:17" x14ac:dyDescent="0.3">
      <c r="B15" t="s">
        <v>31</v>
      </c>
      <c r="J15">
        <v>407</v>
      </c>
      <c r="K15">
        <v>3541</v>
      </c>
      <c r="L15">
        <v>1424</v>
      </c>
      <c r="M15">
        <v>2523</v>
      </c>
      <c r="N15">
        <v>2317</v>
      </c>
      <c r="O15">
        <v>205</v>
      </c>
      <c r="P15">
        <v>2895</v>
      </c>
      <c r="Q15">
        <v>571</v>
      </c>
    </row>
    <row r="16" spans="1:17" x14ac:dyDescent="0.3">
      <c r="B16" t="s">
        <v>37</v>
      </c>
      <c r="C16">
        <v>412</v>
      </c>
      <c r="J16">
        <v>429</v>
      </c>
      <c r="K16">
        <v>3547</v>
      </c>
      <c r="L16">
        <v>1422</v>
      </c>
      <c r="M16">
        <v>2522</v>
      </c>
      <c r="N16">
        <v>2316</v>
      </c>
      <c r="O16">
        <v>217</v>
      </c>
      <c r="P16">
        <v>2896</v>
      </c>
      <c r="Q16">
        <v>572</v>
      </c>
    </row>
    <row r="17" spans="1:17" x14ac:dyDescent="0.3">
      <c r="B17" t="s">
        <v>6</v>
      </c>
      <c r="C17">
        <v>1.6063999999999998E-2</v>
      </c>
      <c r="J17">
        <v>409</v>
      </c>
      <c r="K17">
        <v>3543</v>
      </c>
      <c r="L17">
        <v>1422</v>
      </c>
      <c r="M17">
        <v>2522</v>
      </c>
      <c r="N17">
        <v>2316</v>
      </c>
      <c r="O17">
        <v>218</v>
      </c>
      <c r="P17">
        <v>2895</v>
      </c>
      <c r="Q17">
        <v>569</v>
      </c>
    </row>
    <row r="18" spans="1:17" x14ac:dyDescent="0.3">
      <c r="A18" t="s">
        <v>14</v>
      </c>
      <c r="J18">
        <v>410</v>
      </c>
      <c r="K18">
        <v>3542</v>
      </c>
      <c r="L18">
        <v>1424</v>
      </c>
      <c r="M18">
        <v>2523</v>
      </c>
      <c r="N18">
        <v>2317</v>
      </c>
      <c r="O18">
        <v>212</v>
      </c>
      <c r="P18">
        <v>2892</v>
      </c>
      <c r="Q18">
        <v>572</v>
      </c>
    </row>
    <row r="19" spans="1:17" x14ac:dyDescent="0.3">
      <c r="B19" t="s">
        <v>15</v>
      </c>
      <c r="C19">
        <v>400</v>
      </c>
      <c r="D19" t="s">
        <v>1</v>
      </c>
      <c r="J19">
        <v>419</v>
      </c>
      <c r="K19">
        <v>3545</v>
      </c>
      <c r="L19">
        <v>1423</v>
      </c>
      <c r="M19">
        <v>2522</v>
      </c>
      <c r="N19">
        <v>2316</v>
      </c>
      <c r="O19">
        <v>212</v>
      </c>
      <c r="P19">
        <v>2894</v>
      </c>
      <c r="Q19">
        <v>570</v>
      </c>
    </row>
    <row r="20" spans="1:17" x14ac:dyDescent="0.3">
      <c r="B20" t="s">
        <v>3</v>
      </c>
      <c r="C20">
        <v>12</v>
      </c>
      <c r="J20">
        <v>414</v>
      </c>
      <c r="K20">
        <v>3545</v>
      </c>
      <c r="L20">
        <v>1416</v>
      </c>
      <c r="M20">
        <v>2520</v>
      </c>
      <c r="N20">
        <v>2318</v>
      </c>
      <c r="O20">
        <v>177</v>
      </c>
      <c r="P20">
        <v>2908</v>
      </c>
      <c r="Q20">
        <v>425</v>
      </c>
    </row>
    <row r="21" spans="1:17" x14ac:dyDescent="0.3">
      <c r="B21" t="s">
        <v>4</v>
      </c>
      <c r="C21">
        <f>2^C20</f>
        <v>4096</v>
      </c>
      <c r="J21">
        <v>415</v>
      </c>
      <c r="K21">
        <v>3543</v>
      </c>
      <c r="L21">
        <v>1416</v>
      </c>
      <c r="M21">
        <v>2520</v>
      </c>
      <c r="N21">
        <v>2318</v>
      </c>
      <c r="O21">
        <v>188</v>
      </c>
      <c r="P21">
        <v>2909</v>
      </c>
      <c r="Q21">
        <v>427</v>
      </c>
    </row>
    <row r="22" spans="1:17" x14ac:dyDescent="0.3">
      <c r="B22" t="s">
        <v>5</v>
      </c>
      <c r="C22">
        <f>+C6</f>
        <v>3.29</v>
      </c>
      <c r="J22">
        <v>416</v>
      </c>
      <c r="K22">
        <v>3543</v>
      </c>
      <c r="L22">
        <v>1418</v>
      </c>
      <c r="M22">
        <v>2523</v>
      </c>
      <c r="N22">
        <v>2320</v>
      </c>
      <c r="O22">
        <v>187</v>
      </c>
      <c r="P22">
        <v>2907</v>
      </c>
      <c r="Q22">
        <v>421</v>
      </c>
    </row>
    <row r="23" spans="1:17" x14ac:dyDescent="0.3">
      <c r="B23" t="s">
        <v>7</v>
      </c>
      <c r="C23">
        <f>+C22/C21</f>
        <v>8.0322265625000001E-4</v>
      </c>
      <c r="D23" t="s">
        <v>9</v>
      </c>
      <c r="J23">
        <v>406</v>
      </c>
      <c r="K23">
        <v>3543</v>
      </c>
      <c r="L23">
        <v>1417</v>
      </c>
      <c r="M23">
        <v>2521</v>
      </c>
      <c r="N23">
        <v>2320</v>
      </c>
      <c r="O23">
        <v>194</v>
      </c>
      <c r="P23">
        <v>2908</v>
      </c>
      <c r="Q23">
        <v>422</v>
      </c>
    </row>
    <row r="24" spans="1:17" x14ac:dyDescent="0.3">
      <c r="B24" t="s">
        <v>8</v>
      </c>
      <c r="C24">
        <f>+C19/1000</f>
        <v>0.4</v>
      </c>
      <c r="D24" t="s">
        <v>10</v>
      </c>
      <c r="J24">
        <v>415</v>
      </c>
      <c r="K24">
        <v>3540</v>
      </c>
      <c r="L24">
        <v>1419</v>
      </c>
      <c r="M24">
        <v>2523</v>
      </c>
      <c r="N24">
        <v>2320</v>
      </c>
      <c r="O24">
        <v>187</v>
      </c>
      <c r="P24">
        <v>2905</v>
      </c>
      <c r="Q24">
        <v>423</v>
      </c>
    </row>
    <row r="25" spans="1:17" x14ac:dyDescent="0.3">
      <c r="B25" t="s">
        <v>12</v>
      </c>
      <c r="C25">
        <f>+C23/C24</f>
        <v>2.0080566406249999E-3</v>
      </c>
      <c r="D25" t="s">
        <v>11</v>
      </c>
      <c r="J25">
        <v>413</v>
      </c>
      <c r="K25">
        <v>3542</v>
      </c>
      <c r="L25">
        <v>1415</v>
      </c>
      <c r="M25">
        <v>2523</v>
      </c>
      <c r="N25">
        <v>2320</v>
      </c>
      <c r="O25">
        <v>184</v>
      </c>
      <c r="P25">
        <v>2907</v>
      </c>
      <c r="Q25">
        <v>423</v>
      </c>
    </row>
    <row r="26" spans="1:17" x14ac:dyDescent="0.3">
      <c r="B26" t="s">
        <v>13</v>
      </c>
      <c r="C26">
        <v>2.0079999999999998E-3</v>
      </c>
      <c r="J26">
        <v>415</v>
      </c>
      <c r="K26">
        <v>3542</v>
      </c>
      <c r="L26">
        <v>1417</v>
      </c>
      <c r="M26">
        <v>2521</v>
      </c>
      <c r="N26">
        <v>2320</v>
      </c>
      <c r="O26">
        <v>189</v>
      </c>
      <c r="P26">
        <v>2905</v>
      </c>
      <c r="Q26">
        <v>424</v>
      </c>
    </row>
    <row r="27" spans="1:17" x14ac:dyDescent="0.3">
      <c r="B27" t="s">
        <v>16</v>
      </c>
      <c r="C27">
        <v>0.25</v>
      </c>
      <c r="D27" t="s">
        <v>18</v>
      </c>
      <c r="J27">
        <v>403</v>
      </c>
      <c r="K27">
        <v>3545</v>
      </c>
      <c r="L27">
        <v>1417</v>
      </c>
      <c r="M27">
        <v>2522</v>
      </c>
      <c r="N27">
        <v>2320</v>
      </c>
      <c r="O27">
        <v>194</v>
      </c>
      <c r="P27">
        <v>2906</v>
      </c>
      <c r="Q27">
        <v>422</v>
      </c>
    </row>
    <row r="28" spans="1:17" x14ac:dyDescent="0.3">
      <c r="B28" t="s">
        <v>27</v>
      </c>
      <c r="C28">
        <f>+AVERAGE(O:O)</f>
        <v>197.27777777777777</v>
      </c>
      <c r="J28">
        <v>394</v>
      </c>
      <c r="K28">
        <v>3546</v>
      </c>
      <c r="L28">
        <v>1415</v>
      </c>
      <c r="M28">
        <v>2523</v>
      </c>
      <c r="N28">
        <v>2320</v>
      </c>
      <c r="O28">
        <v>187</v>
      </c>
      <c r="P28">
        <v>2907</v>
      </c>
      <c r="Q28">
        <v>420</v>
      </c>
    </row>
    <row r="29" spans="1:17" x14ac:dyDescent="0.3">
      <c r="B29" t="s">
        <v>28</v>
      </c>
      <c r="C29">
        <f>+C26*C28</f>
        <v>0.39613377777777775</v>
      </c>
      <c r="J29">
        <v>426</v>
      </c>
      <c r="K29">
        <v>3549</v>
      </c>
      <c r="L29">
        <v>1415</v>
      </c>
      <c r="M29">
        <v>2521</v>
      </c>
      <c r="N29">
        <v>2320</v>
      </c>
      <c r="O29">
        <v>205</v>
      </c>
      <c r="P29">
        <v>2907</v>
      </c>
      <c r="Q29">
        <v>423</v>
      </c>
    </row>
    <row r="30" spans="1:17" x14ac:dyDescent="0.3">
      <c r="B30" t="s">
        <v>29</v>
      </c>
      <c r="C30">
        <f>+C29*C19</f>
        <v>158.45351111111111</v>
      </c>
      <c r="D30" t="s">
        <v>30</v>
      </c>
      <c r="J30">
        <v>419</v>
      </c>
      <c r="K30">
        <v>3541</v>
      </c>
      <c r="L30">
        <v>1419</v>
      </c>
      <c r="M30">
        <v>2521</v>
      </c>
      <c r="N30">
        <v>2320</v>
      </c>
      <c r="O30">
        <v>189</v>
      </c>
      <c r="P30">
        <v>2905</v>
      </c>
      <c r="Q30">
        <v>421</v>
      </c>
    </row>
    <row r="31" spans="1:17" x14ac:dyDescent="0.3">
      <c r="B31" t="s">
        <v>31</v>
      </c>
      <c r="J31">
        <v>412</v>
      </c>
      <c r="K31">
        <v>3543</v>
      </c>
      <c r="L31">
        <v>1417</v>
      </c>
      <c r="M31">
        <v>2523</v>
      </c>
      <c r="N31">
        <v>2320</v>
      </c>
      <c r="O31">
        <v>188</v>
      </c>
      <c r="P31">
        <v>2906</v>
      </c>
      <c r="Q31">
        <v>421</v>
      </c>
    </row>
    <row r="32" spans="1:17" x14ac:dyDescent="0.3">
      <c r="B32" t="s">
        <v>37</v>
      </c>
      <c r="C32">
        <v>197</v>
      </c>
      <c r="J32">
        <v>420</v>
      </c>
      <c r="K32">
        <v>3543</v>
      </c>
      <c r="L32">
        <v>1417</v>
      </c>
      <c r="M32">
        <v>2521</v>
      </c>
      <c r="N32">
        <v>2321</v>
      </c>
      <c r="O32">
        <v>189</v>
      </c>
      <c r="P32">
        <v>2907</v>
      </c>
      <c r="Q32">
        <v>422</v>
      </c>
    </row>
    <row r="33" spans="2:17" x14ac:dyDescent="0.3">
      <c r="B33" t="s">
        <v>6</v>
      </c>
      <c r="C33">
        <v>2.0079999999999998E-3</v>
      </c>
      <c r="J33">
        <v>429</v>
      </c>
      <c r="K33">
        <v>3548</v>
      </c>
      <c r="L33">
        <v>1423</v>
      </c>
      <c r="M33">
        <v>2524</v>
      </c>
      <c r="N33">
        <v>2320</v>
      </c>
      <c r="O33">
        <v>192</v>
      </c>
      <c r="P33">
        <v>2906</v>
      </c>
      <c r="Q33">
        <v>419</v>
      </c>
    </row>
    <row r="34" spans="2:17" x14ac:dyDescent="0.3">
      <c r="J34">
        <v>396</v>
      </c>
      <c r="K34">
        <v>3543</v>
      </c>
      <c r="L34">
        <v>1417</v>
      </c>
      <c r="M34">
        <v>2522</v>
      </c>
      <c r="N34">
        <v>2321</v>
      </c>
      <c r="O34">
        <v>189</v>
      </c>
      <c r="P34">
        <v>2908</v>
      </c>
      <c r="Q34">
        <v>425</v>
      </c>
    </row>
    <row r="35" spans="2:17" x14ac:dyDescent="0.3">
      <c r="J35">
        <v>417</v>
      </c>
      <c r="K35">
        <v>3542</v>
      </c>
      <c r="L35">
        <v>1420</v>
      </c>
      <c r="M35">
        <v>2521</v>
      </c>
      <c r="N35">
        <v>2320</v>
      </c>
      <c r="O35">
        <v>184</v>
      </c>
      <c r="P35">
        <v>2906</v>
      </c>
      <c r="Q35">
        <v>425</v>
      </c>
    </row>
    <row r="36" spans="2:17" x14ac:dyDescent="0.3">
      <c r="J36">
        <v>407</v>
      </c>
      <c r="K36">
        <v>3544</v>
      </c>
      <c r="L36">
        <v>1417</v>
      </c>
      <c r="M36">
        <v>2522</v>
      </c>
      <c r="N36">
        <v>2319</v>
      </c>
      <c r="O36">
        <v>190</v>
      </c>
      <c r="P36">
        <v>2906</v>
      </c>
      <c r="Q36">
        <v>423</v>
      </c>
    </row>
    <row r="37" spans="2:17" x14ac:dyDescent="0.3">
      <c r="J37">
        <v>409</v>
      </c>
      <c r="K37">
        <v>3543</v>
      </c>
      <c r="L37">
        <v>1419</v>
      </c>
      <c r="M37">
        <v>2523</v>
      </c>
      <c r="N37">
        <v>2320</v>
      </c>
      <c r="O37">
        <v>192</v>
      </c>
      <c r="P37">
        <v>2907</v>
      </c>
      <c r="Q37">
        <v>423</v>
      </c>
    </row>
    <row r="38" spans="2:17" x14ac:dyDescent="0.3">
      <c r="J38">
        <v>405</v>
      </c>
      <c r="K38">
        <v>3545</v>
      </c>
      <c r="L38">
        <v>1416</v>
      </c>
      <c r="M38">
        <v>2521</v>
      </c>
      <c r="N38">
        <v>2319</v>
      </c>
      <c r="O38">
        <v>195</v>
      </c>
      <c r="P38">
        <v>2908</v>
      </c>
      <c r="Q38">
        <v>272</v>
      </c>
    </row>
    <row r="39" spans="2:17" x14ac:dyDescent="0.3">
      <c r="J39">
        <v>417</v>
      </c>
      <c r="K39">
        <v>3543</v>
      </c>
      <c r="L39">
        <v>1418</v>
      </c>
      <c r="M39">
        <v>2523</v>
      </c>
      <c r="N39">
        <v>2318</v>
      </c>
      <c r="O39">
        <v>193</v>
      </c>
      <c r="P39">
        <v>2907</v>
      </c>
      <c r="Q39">
        <v>270</v>
      </c>
    </row>
    <row r="40" spans="2:17" x14ac:dyDescent="0.3">
      <c r="J40">
        <v>411</v>
      </c>
      <c r="K40">
        <v>3542</v>
      </c>
      <c r="L40">
        <v>1419</v>
      </c>
      <c r="M40">
        <v>2525</v>
      </c>
      <c r="N40">
        <v>2319</v>
      </c>
      <c r="O40">
        <v>187</v>
      </c>
      <c r="P40">
        <v>2907</v>
      </c>
      <c r="Q40">
        <v>273</v>
      </c>
    </row>
    <row r="41" spans="2:17" x14ac:dyDescent="0.3">
      <c r="J41">
        <v>404</v>
      </c>
      <c r="K41">
        <v>3542</v>
      </c>
      <c r="L41">
        <v>1416</v>
      </c>
      <c r="M41">
        <v>2523</v>
      </c>
      <c r="N41">
        <v>2319</v>
      </c>
      <c r="O41">
        <v>180</v>
      </c>
      <c r="P41">
        <v>2908</v>
      </c>
      <c r="Q41">
        <v>271</v>
      </c>
    </row>
    <row r="42" spans="2:17" x14ac:dyDescent="0.3">
      <c r="J42">
        <v>410</v>
      </c>
      <c r="K42">
        <v>3545</v>
      </c>
      <c r="L42">
        <v>1416</v>
      </c>
      <c r="M42">
        <v>2521</v>
      </c>
      <c r="N42">
        <v>2319</v>
      </c>
      <c r="O42">
        <v>186</v>
      </c>
      <c r="P42">
        <v>2908</v>
      </c>
      <c r="Q42">
        <v>271</v>
      </c>
    </row>
    <row r="43" spans="2:17" x14ac:dyDescent="0.3">
      <c r="J43">
        <v>410</v>
      </c>
      <c r="K43">
        <v>3543</v>
      </c>
      <c r="L43">
        <v>1416</v>
      </c>
      <c r="M43">
        <v>2525</v>
      </c>
      <c r="N43">
        <v>2318</v>
      </c>
      <c r="O43">
        <v>184</v>
      </c>
      <c r="P43">
        <v>2909</v>
      </c>
      <c r="Q43">
        <v>270</v>
      </c>
    </row>
    <row r="44" spans="2:17" x14ac:dyDescent="0.3">
      <c r="J44">
        <v>419</v>
      </c>
      <c r="K44">
        <v>3543</v>
      </c>
      <c r="L44">
        <v>1418</v>
      </c>
      <c r="M44">
        <v>2523</v>
      </c>
      <c r="N44">
        <v>2319</v>
      </c>
      <c r="O44">
        <v>183</v>
      </c>
      <c r="P44">
        <v>2907</v>
      </c>
      <c r="Q44">
        <v>270</v>
      </c>
    </row>
    <row r="45" spans="2:17" x14ac:dyDescent="0.3">
      <c r="J45">
        <v>386</v>
      </c>
      <c r="K45">
        <v>3545</v>
      </c>
      <c r="L45">
        <v>1419</v>
      </c>
      <c r="M45">
        <v>2524</v>
      </c>
      <c r="N45">
        <v>2319</v>
      </c>
      <c r="O45">
        <v>196</v>
      </c>
      <c r="P45">
        <v>2907</v>
      </c>
      <c r="Q45">
        <v>270</v>
      </c>
    </row>
    <row r="46" spans="2:17" x14ac:dyDescent="0.3">
      <c r="J46">
        <v>411</v>
      </c>
      <c r="K46">
        <v>3541</v>
      </c>
      <c r="L46">
        <v>1418</v>
      </c>
      <c r="M46">
        <v>2525</v>
      </c>
      <c r="N46">
        <v>2320</v>
      </c>
      <c r="O46">
        <v>183</v>
      </c>
      <c r="P46">
        <v>2908</v>
      </c>
      <c r="Q46">
        <v>271</v>
      </c>
    </row>
    <row r="47" spans="2:17" x14ac:dyDescent="0.3">
      <c r="J47">
        <v>420</v>
      </c>
      <c r="K47">
        <v>3543</v>
      </c>
      <c r="L47">
        <v>1418</v>
      </c>
      <c r="M47">
        <v>2522</v>
      </c>
      <c r="N47">
        <v>2319</v>
      </c>
      <c r="O47">
        <v>182</v>
      </c>
      <c r="P47">
        <v>2907</v>
      </c>
      <c r="Q47">
        <v>273</v>
      </c>
    </row>
    <row r="48" spans="2:17" x14ac:dyDescent="0.3">
      <c r="J48">
        <v>413</v>
      </c>
      <c r="K48">
        <v>3544</v>
      </c>
      <c r="L48">
        <v>1418</v>
      </c>
      <c r="M48">
        <v>2520</v>
      </c>
      <c r="N48">
        <v>2318</v>
      </c>
      <c r="O48">
        <v>191</v>
      </c>
      <c r="P48">
        <v>2911</v>
      </c>
      <c r="Q48">
        <v>276</v>
      </c>
    </row>
    <row r="49" spans="10:17" x14ac:dyDescent="0.3">
      <c r="J49">
        <v>408</v>
      </c>
      <c r="K49">
        <v>3545</v>
      </c>
      <c r="L49">
        <v>1416</v>
      </c>
      <c r="M49">
        <v>2523</v>
      </c>
      <c r="N49">
        <v>2318</v>
      </c>
      <c r="O49">
        <v>189</v>
      </c>
      <c r="P49">
        <v>2908</v>
      </c>
      <c r="Q49">
        <v>270</v>
      </c>
    </row>
    <row r="50" spans="10:17" x14ac:dyDescent="0.3">
      <c r="J50">
        <v>412</v>
      </c>
      <c r="K50">
        <v>3542</v>
      </c>
      <c r="L50">
        <v>1418</v>
      </c>
      <c r="M50">
        <v>2523</v>
      </c>
      <c r="N50">
        <v>2319</v>
      </c>
      <c r="O50">
        <v>186</v>
      </c>
      <c r="P50">
        <v>2907</v>
      </c>
      <c r="Q50">
        <v>274</v>
      </c>
    </row>
    <row r="51" spans="10:17" x14ac:dyDescent="0.3">
      <c r="J51">
        <v>419</v>
      </c>
      <c r="K51">
        <v>3545</v>
      </c>
      <c r="L51">
        <v>1415</v>
      </c>
      <c r="M51">
        <v>2524</v>
      </c>
      <c r="N51">
        <v>2319</v>
      </c>
      <c r="O51">
        <v>190</v>
      </c>
      <c r="P51">
        <v>2908</v>
      </c>
      <c r="Q51">
        <v>272</v>
      </c>
    </row>
    <row r="52" spans="10:17" x14ac:dyDescent="0.3">
      <c r="J52">
        <v>413</v>
      </c>
      <c r="K52">
        <v>3542</v>
      </c>
      <c r="L52">
        <v>1419</v>
      </c>
      <c r="M52">
        <v>2522</v>
      </c>
      <c r="N52">
        <v>2319</v>
      </c>
      <c r="O52">
        <v>195</v>
      </c>
      <c r="P52">
        <v>2909</v>
      </c>
      <c r="Q52">
        <v>273</v>
      </c>
    </row>
    <row r="53" spans="10:17" x14ac:dyDescent="0.3">
      <c r="J53">
        <v>409</v>
      </c>
      <c r="K53">
        <v>3540</v>
      </c>
      <c r="L53">
        <v>1415</v>
      </c>
      <c r="M53">
        <v>2524</v>
      </c>
      <c r="N53">
        <v>2320</v>
      </c>
      <c r="O53">
        <v>185</v>
      </c>
      <c r="P53">
        <v>2907</v>
      </c>
      <c r="Q53">
        <v>272</v>
      </c>
    </row>
    <row r="54" spans="10:17" x14ac:dyDescent="0.3">
      <c r="J54">
        <v>417</v>
      </c>
      <c r="K54">
        <v>3547</v>
      </c>
      <c r="L54">
        <v>1418</v>
      </c>
      <c r="M54">
        <v>2521</v>
      </c>
      <c r="N54">
        <v>2319</v>
      </c>
      <c r="O54">
        <v>183</v>
      </c>
      <c r="P54">
        <v>2911</v>
      </c>
      <c r="Q54">
        <v>273</v>
      </c>
    </row>
    <row r="55" spans="10:17" x14ac:dyDescent="0.3">
      <c r="J55">
        <v>426</v>
      </c>
      <c r="K55">
        <v>3541</v>
      </c>
      <c r="L55">
        <v>1416</v>
      </c>
      <c r="M55">
        <v>2521</v>
      </c>
      <c r="N55">
        <v>2319</v>
      </c>
      <c r="O55">
        <v>187</v>
      </c>
      <c r="P55">
        <v>2907</v>
      </c>
      <c r="Q55">
        <v>271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2026-02-28T12:42:21Z</dcterms:created>
  <dcterms:modified xsi:type="dcterms:W3CDTF">2026-02-28T13:45:58Z</dcterms:modified>
</cp:coreProperties>
</file>